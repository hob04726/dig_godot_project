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Current_Project" sheetId="2" state="visible" r:id="rId2"/>
    <sheet xmlns:r="http://schemas.openxmlformats.org/officeDocument/2006/relationships" name="CC_Reference" sheetId="3" state="visible" r:id="rId3"/>
    <sheet xmlns:r="http://schemas.openxmlformats.org/officeDocument/2006/relationships" name="Ore_Buildings" sheetId="4" state="visible" r:id="rId4"/>
    <sheet xmlns:r="http://schemas.openxmlformats.org/officeDocument/2006/relationships" name="Talent_Nodes" sheetId="5" state="visible" r:id="rId5"/>
    <sheet xmlns:r="http://schemas.openxmlformats.org/officeDocument/2006/relationships" name="Ore_Upgrade_Tree" sheetId="6" state="visible" r:id="rId6"/>
    <sheet xmlns:r="http://schemas.openxmlformats.org/officeDocument/2006/relationships" name="Gold_Synergies" sheetId="7" state="visible" r:id="rId7"/>
    <sheet xmlns:r="http://schemas.openxmlformats.org/officeDocument/2006/relationships" name="Terrain_Synergies" sheetId="8" state="visible" r:id="rId8"/>
    <sheet xmlns:r="http://schemas.openxmlformats.org/officeDocument/2006/relationships" name="Tile_Economy" sheetId="9" state="visible" r:id="rId9"/>
    <sheet xmlns:r="http://schemas.openxmlformats.org/officeDocument/2006/relationships" name="Balance" sheetId="10" state="visible" r:id="rId10"/>
    <sheet xmlns:r="http://schemas.openxmlformats.org/officeDocument/2006/relationships" name="Advanced" sheetId="11" state="visible" r:id="rId11"/>
    <sheet xmlns:r="http://schemas.openxmlformats.org/officeDocument/2006/relationships" name="Implementation" sheetId="12" state="visible" r:id="rId12"/>
    <sheet xmlns:r="http://schemas.openxmlformats.org/officeDocument/2006/relationships" name="Lists" sheetId="13" state="hidden" r:id="rId13"/>
  </sheets>
  <definedNames>
    <definedName name="_xlnm._FilterDatabase" localSheetId="3" hidden="1">'Ore_Buildings'!$A$4:$X$12</definedName>
    <definedName name="_xlnm._FilterDatabase" localSheetId="4" hidden="1">'Talent_Nodes'!$A$4:$W$194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0"/>
    <numFmt numFmtId="166" formatCode="#,##0.000"/>
    <numFmt numFmtId="167" formatCode="0.000000"/>
    <numFmt numFmtId="168" formatCode="0.000E+00"/>
    <numFmt numFmtId="169" formatCode="0.0E+00"/>
  </numFmts>
  <fonts count="14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DDE6F4"/>
      <sz val="10"/>
    </font>
    <font>
      <name val="Microsoft YaHei"/>
      <b val="1"/>
      <color rgb="00FFFFFF"/>
      <sz val="12"/>
    </font>
    <font>
      <name val="Microsoft YaHei"/>
      <b val="1"/>
      <color rgb="00172033"/>
    </font>
    <font>
      <name val="Microsoft YaHei"/>
      <color rgb="00253047"/>
    </font>
    <font>
      <name val="Microsoft YaHei"/>
      <color rgb="003C78D8"/>
      <u val="single"/>
    </font>
    <font>
      <name val="Consolas"/>
      <color rgb="00253047"/>
    </font>
    <font>
      <name val="Microsoft YaHei"/>
      <b val="1"/>
      <color rgb="00FFFFFF"/>
    </font>
    <font>
      <name val="Microsoft YaHei"/>
      <color rgb="00253047"/>
      <sz val="10"/>
    </font>
    <font>
      <name val="Consolas"/>
      <color rgb="00657189"/>
    </font>
    <font>
      <name val="Microsoft YaHei"/>
      <color rgb="00FFFFFF"/>
      <sz val="9"/>
    </font>
    <font>
      <name val="Consolas"/>
      <color rgb="003C78D8"/>
      <u val="single"/>
    </font>
    <font>
      <name val="Consolas"/>
      <b val="1"/>
      <color rgb="00172033"/>
      <sz val="12"/>
    </font>
  </fonts>
  <fills count="19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24324A"/>
      </patternFill>
    </fill>
    <fill>
      <patternFill patternType="solid">
        <fgColor rgb="005BA6C9"/>
      </patternFill>
    </fill>
    <fill>
      <patternFill patternType="solid">
        <fgColor rgb="0068B984"/>
      </patternFill>
    </fill>
    <fill>
      <patternFill patternType="solid">
        <fgColor rgb="00E8B949"/>
      </patternFill>
    </fill>
    <fill>
      <patternFill patternType="solid">
        <fgColor rgb="00EAF3F8"/>
      </patternFill>
    </fill>
    <fill>
      <patternFill patternType="solid">
        <fgColor rgb="00E6904E"/>
      </patternFill>
    </fill>
    <fill>
      <patternFill patternType="solid">
        <fgColor rgb="009A79C9"/>
      </patternFill>
    </fill>
    <fill>
      <patternFill patternType="solid">
        <fgColor rgb="00FFF4CE"/>
      </patternFill>
    </fill>
    <fill>
      <patternFill patternType="solid">
        <fgColor rgb="00F8D7DA"/>
      </patternFill>
    </fill>
    <fill>
      <patternFill patternType="solid">
        <fgColor rgb="005F6670"/>
      </patternFill>
    </fill>
    <fill>
      <patternFill patternType="solid">
        <fgColor rgb="008794A6"/>
      </patternFill>
    </fill>
    <fill>
      <patternFill patternType="solid">
        <fgColor rgb="006AA6A0"/>
      </patternFill>
    </fill>
    <fill>
      <patternFill patternType="solid">
        <fgColor rgb="00D5A62E"/>
      </patternFill>
    </fill>
    <fill>
      <patternFill patternType="solid">
        <fgColor rgb="0066547A"/>
      </patternFill>
    </fill>
    <fill>
      <patternFill patternType="solid">
        <fgColor rgb="0072BDD1"/>
      </patternFill>
    </fill>
    <fill>
      <patternFill patternType="solid">
        <fgColor rgb="00C9799B"/>
      </patternFill>
    </fill>
  </fills>
  <borders count="3">
    <border>
      <left/>
      <right/>
      <top/>
      <bottom/>
      <diagonal/>
    </border>
    <border>
      <bottom style="medium">
        <color rgb="0024324A"/>
      </bottom>
    </border>
    <border>
      <bottom style="thin">
        <color rgb="00D8DEE9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5" borderId="0" applyAlignment="1" pivotButton="0" quotePrefix="0" xfId="0">
      <alignment vertical="center"/>
    </xf>
    <xf numFmtId="0" fontId="6" fillId="0" borderId="0" pivotButton="0" quotePrefix="0" xfId="0"/>
    <xf numFmtId="0" fontId="5" fillId="0" borderId="0" applyAlignment="1" pivotButton="0" quotePrefix="0" xfId="0">
      <alignment wrapText="1"/>
    </xf>
    <xf numFmtId="0" fontId="3" fillId="6" borderId="0" applyAlignment="1" pivotButton="0" quotePrefix="0" xfId="0">
      <alignment vertical="center"/>
    </xf>
    <xf numFmtId="0" fontId="7" fillId="7" borderId="0" pivotButton="0" quotePrefix="0" xfId="0"/>
    <xf numFmtId="0" fontId="3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5" fillId="10" borderId="0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top" wrapText="1"/>
    </xf>
    <xf numFmtId="10" fontId="9" fillId="0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/>
    </xf>
    <xf numFmtId="164" fontId="9" fillId="0" borderId="2" applyAlignment="1" pivotButton="0" quotePrefix="0" xfId="0">
      <alignment vertical="top"/>
    </xf>
    <xf numFmtId="11" fontId="9" fillId="0" borderId="2" applyAlignment="1" pivotButton="0" quotePrefix="0" xfId="0">
      <alignment vertical="top" wrapText="1"/>
    </xf>
    <xf numFmtId="3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/>
    </xf>
    <xf numFmtId="0" fontId="10" fillId="0" borderId="0" pivotButton="0" quotePrefix="0" xfId="0"/>
    <xf numFmtId="2" fontId="9" fillId="0" borderId="2" applyAlignment="1" pivotButton="0" quotePrefix="0" xfId="0">
      <alignment vertical="top" wrapText="1"/>
    </xf>
    <xf numFmtId="0" fontId="9" fillId="10" borderId="2" applyAlignment="1" pivotButton="0" quotePrefix="0" xfId="0">
      <alignment vertical="top" wrapText="1"/>
    </xf>
    <xf numFmtId="165" fontId="9" fillId="10" borderId="2" applyAlignment="1" pivotButton="0" quotePrefix="0" xfId="0">
      <alignment vertical="top" wrapText="1"/>
    </xf>
    <xf numFmtId="0" fontId="9" fillId="7" borderId="2" applyAlignment="1" pivotButton="0" quotePrefix="0" xfId="0">
      <alignment vertical="top" wrapText="1"/>
    </xf>
    <xf numFmtId="165" fontId="9" fillId="7" borderId="2" applyAlignment="1" pivotButton="0" quotePrefix="0" xfId="0">
      <alignment vertical="top" wrapText="1"/>
    </xf>
    <xf numFmtId="166" fontId="9" fillId="7" borderId="2" applyAlignment="1" pivotButton="0" quotePrefix="0" xfId="0">
      <alignment vertical="top" wrapText="1"/>
    </xf>
    <xf numFmtId="164" fontId="9" fillId="7" borderId="2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/>
    </xf>
    <xf numFmtId="167" fontId="9" fillId="0" borderId="2" applyAlignment="1" pivotButton="0" quotePrefix="0" xfId="0">
      <alignment vertical="top" wrapText="1"/>
    </xf>
    <xf numFmtId="168" fontId="9" fillId="0" borderId="2" applyAlignment="1" pivotButton="0" quotePrefix="0" xfId="0">
      <alignment vertical="top" wrapText="1"/>
    </xf>
    <xf numFmtId="0" fontId="9" fillId="11" borderId="2" applyAlignment="1" pivotButton="0" quotePrefix="0" xfId="0">
      <alignment vertical="top" wrapText="1"/>
    </xf>
    <xf numFmtId="0" fontId="9" fillId="5" borderId="2" applyAlignment="1" pivotButton="0" quotePrefix="0" xfId="0">
      <alignment vertical="top" wrapText="1"/>
    </xf>
    <xf numFmtId="0" fontId="9" fillId="6" borderId="2" applyAlignment="1" pivotButton="0" quotePrefix="0" xfId="0">
      <alignment vertical="top" wrapText="1"/>
    </xf>
    <xf numFmtId="0" fontId="9" fillId="9" borderId="2" applyAlignment="1" pivotButton="0" quotePrefix="0" xfId="0">
      <alignment vertical="top" wrapText="1"/>
    </xf>
    <xf numFmtId="0" fontId="8" fillId="12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8" fillId="16" borderId="0" applyAlignment="1" pivotButton="0" quotePrefix="0" xfId="0">
      <alignment horizontal="center" vertical="center" wrapText="1"/>
    </xf>
    <xf numFmtId="0" fontId="8" fillId="17" borderId="0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169" fontId="9" fillId="0" borderId="2" applyAlignment="1" pivotButton="0" quotePrefix="0" xfId="0">
      <alignment vertical="top" wrapText="1"/>
    </xf>
    <xf numFmtId="0" fontId="11" fillId="12" borderId="0" applyAlignment="1" pivotButton="0" quotePrefix="0" xfId="0">
      <alignment horizontal="center" vertical="center" wrapText="1"/>
    </xf>
    <xf numFmtId="0" fontId="11" fillId="13" borderId="0" applyAlignment="1" pivotButton="0" quotePrefix="0" xfId="0">
      <alignment horizontal="center" vertical="center" wrapText="1"/>
    </xf>
    <xf numFmtId="0" fontId="11" fillId="14" borderId="0" applyAlignment="1" pivotButton="0" quotePrefix="0" xfId="0">
      <alignment horizontal="center" vertical="center" wrapText="1"/>
    </xf>
    <xf numFmtId="0" fontId="11" fillId="15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1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center" vertical="center" wrapText="1"/>
    </xf>
    <xf numFmtId="0" fontId="11" fillId="18" borderId="0" applyAlignment="1" pivotButton="0" quotePrefix="0" xfId="0">
      <alignment horizontal="center" vertical="center" wrapText="1"/>
    </xf>
    <xf numFmtId="9" fontId="9" fillId="0" borderId="2" applyAlignment="1" pivotButton="0" quotePrefix="0" xfId="0">
      <alignment vertical="top" wrapText="1"/>
    </xf>
    <xf numFmtId="0" fontId="0" fillId="10" borderId="0" pivotButton="0" quotePrefix="0" xfId="0"/>
    <xf numFmtId="2" fontId="0" fillId="10" borderId="0" pivotButton="0" quotePrefix="0" xfId="0"/>
    <xf numFmtId="167" fontId="0" fillId="10" borderId="0" pivotButton="0" quotePrefix="0" xfId="0"/>
    <xf numFmtId="168" fontId="0" fillId="10" borderId="0" pivotButton="0" quotePrefix="0" xfId="0"/>
    <xf numFmtId="164" fontId="9" fillId="0" borderId="2" applyAlignment="1" pivotButton="0" quotePrefix="0" xfId="0">
      <alignment vertical="top" wrapText="1"/>
    </xf>
    <xf numFmtId="11" fontId="9" fillId="0" borderId="2" applyAlignment="1" pivotButton="0" quotePrefix="0" xfId="0">
      <alignment vertical="top"/>
    </xf>
    <xf numFmtId="165" fontId="9" fillId="0" borderId="2" applyAlignment="1" pivotButton="0" quotePrefix="0" xfId="0">
      <alignment vertical="top"/>
    </xf>
    <xf numFmtId="0" fontId="0" fillId="10" borderId="0" applyAlignment="1" pivotButton="0" quotePrefix="0" xfId="0">
      <alignment vertical="top" wrapText="1"/>
    </xf>
    <xf numFmtId="2" fontId="0" fillId="0" borderId="0" pivotButton="0" quotePrefix="0" xfId="0"/>
    <xf numFmtId="168" fontId="0" fillId="0" borderId="0" pivotButton="0" quotePrefix="0" xfId="0"/>
    <xf numFmtId="0" fontId="13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下一座价格（对数纵轴）</a:t>
            </a:r>
          </a:p>
        </rich>
      </tx>
    </title>
    <plotArea>
      <lineChart>
        <grouping val="standard"/>
        <ser>
          <idx val="0"/>
          <order val="0"/>
          <tx>
            <strRef>
              <f>'Balance'!B24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'Balance'!$A$25:$A$33</f>
            </numRef>
          </cat>
          <val>
            <numRef>
              <f>'Balance'!$B$25:$B$33</f>
            </numRef>
          </val>
        </ser>
        <ser>
          <idx val="1"/>
          <order val="1"/>
          <tx>
            <strRef>
              <f>'Balance'!C24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'Balance'!$A$25:$A$33</f>
            </numRef>
          </cat>
          <val>
            <numRef>
              <f>'Balance'!$C$25:$C$33</f>
            </numRef>
          </val>
        </ser>
        <ser>
          <idx val="2"/>
          <order val="2"/>
          <tx>
            <strRef>
              <f>'Balance'!D24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'Balance'!$A$25:$A$33</f>
            </numRef>
          </cat>
          <val>
            <numRef>
              <f>'Balance'!$D$25:$D$33</f>
            </numRef>
          </val>
        </ser>
        <ser>
          <idx val="3"/>
          <order val="3"/>
          <tx>
            <strRef>
              <f>'Balance'!E24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'Balance'!$A$25:$A$33</f>
            </numRef>
          </cat>
          <val>
            <numRef>
              <f>'Balance'!$E$25:$E$33</f>
            </numRef>
          </val>
        </ser>
        <ser>
          <idx val="4"/>
          <order val="4"/>
          <tx>
            <strRef>
              <f>'Balance'!F24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'Balance'!$A$25:$A$33</f>
            </numRef>
          </cat>
          <val>
            <numRef>
              <f>'Balance'!$F$25:$F$33</f>
            </numRef>
          </val>
        </ser>
        <ser>
          <idx val="5"/>
          <order val="5"/>
          <tx>
            <strRef>
              <f>'Balance'!G24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'Balance'!$A$25:$A$33</f>
            </numRef>
          </cat>
          <val>
            <numRef>
              <f>'Balance'!$G$25:$G$33</f>
            </numRef>
          </val>
        </ser>
        <ser>
          <idx val="6"/>
          <order val="6"/>
          <tx>
            <strRef>
              <f>'Balance'!H24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'Balance'!$A$25:$A$33</f>
            </numRef>
          </cat>
          <val>
            <numRef>
              <f>'Balance'!$H$25:$H$33</f>
            </numRef>
          </val>
        </ser>
        <ser>
          <idx val="7"/>
          <order val="7"/>
          <tx>
            <strRef>
              <f>'Balance'!I24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'Balance'!$A$25:$A$33</f>
            </numRef>
          </cat>
          <val>
            <numRef>
              <f>'Balance'!$I$25:$I$33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Owned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J12" authorId="0" shapeId="0">
      <text>
        <t>该节点需要 BigNumber；不要用 GDScript int64 存价格。</t>
      </text>
    </comment>
    <comment ref="K12" authorId="0" shapeId="0">
      <text>
        <t>该节点需要 BigNumber；不要用 GDScript int64 存价格。</t>
      </text>
    </comment>
    <comment ref="G13" authorId="0" shapeId="0">
      <text>
        <t>该节点需要 BigNumber；不要用 GDScript int64 存价格。</t>
      </text>
    </comment>
    <comment ref="H13" authorId="0" shapeId="0">
      <text>
        <t>该节点需要 BigNumber；不要用 GDScript int64 存价格。</t>
      </text>
    </comment>
    <comment ref="I13" authorId="0" shapeId="0">
      <text>
        <t>该节点需要 BigNumber；不要用 GDScript int64 存价格。</t>
      </text>
    </comment>
    <comment ref="J13" authorId="0" shapeId="0">
      <text>
        <t>该节点需要 BigNumber；不要用 GDScript int64 存价格。</t>
      </text>
    </comment>
    <comment ref="K13" authorId="0" shapeId="0">
      <text>
        <t>该节点需要 BigNumber；不要用 GDScript int64 存价格。</t>
      </text>
    </comment>
    <comment ref="D14" authorId="0" shapeId="0">
      <text>
        <t>该节点需要 BigNumber；不要用 GDScript int64 存价格。</t>
      </text>
    </comment>
    <comment ref="E14" authorId="0" shapeId="0">
      <text>
        <t>该节点需要 BigNumber；不要用 GDScript int64 存价格。</t>
      </text>
    </comment>
    <comment ref="F14" authorId="0" shapeId="0">
      <text>
        <t>该节点需要 BigNumber；不要用 GDScript int64 存价格。</t>
      </text>
    </comment>
    <comment ref="G14" authorId="0" shapeId="0">
      <text>
        <t>该节点需要 BigNumber；不要用 GDScript int64 存价格。</t>
      </text>
    </comment>
    <comment ref="H14" authorId="0" shapeId="0">
      <text>
        <t>该节点需要 BigNumber；不要用 GDScript int64 存价格。</t>
      </text>
    </comment>
    <comment ref="I14" authorId="0" shapeId="0">
      <text>
        <t>该节点需要 BigNumber；不要用 GDScript int64 存价格。</t>
      </text>
    </comment>
    <comment ref="J14" authorId="0" shapeId="0">
      <text>
        <t>该节点需要 BigNumber；不要用 GDScript int64 存价格。</t>
      </text>
    </comment>
    <comment ref="K14" authorId="0" shapeId="0">
      <text>
        <t>该节点需要 BigNumber；不要用 GDScript int64 存价格。</t>
      </text>
    </comment>
    <comment ref="D15" authorId="0" shapeId="0">
      <text>
        <t>该节点需要 BigNumber；不要用 GDScript int64 存价格。</t>
      </text>
    </comment>
    <comment ref="E15" authorId="0" shapeId="0">
      <text>
        <t>该节点需要 BigNumber；不要用 GDScript int64 存价格。</t>
      </text>
    </comment>
    <comment ref="F15" authorId="0" shapeId="0">
      <text>
        <t>该节点需要 BigNumber；不要用 GDScript int64 存价格。</t>
      </text>
    </comment>
    <comment ref="G15" authorId="0" shapeId="0">
      <text>
        <t>该节点需要 BigNumber；不要用 GDScript int64 存价格。</t>
      </text>
    </comment>
    <comment ref="H15" authorId="0" shapeId="0">
      <text>
        <t>该节点需要 BigNumber；不要用 GDScript int64 存价格。</t>
      </text>
    </comment>
    <comment ref="I15" authorId="0" shapeId="0">
      <text>
        <t>该节点需要 BigNumber；不要用 GDScript int64 存价格。</t>
      </text>
    </comment>
    <comment ref="J15" authorId="0" shapeId="0">
      <text>
        <t>该节点需要 BigNumber；不要用 GDScript int64 存价格。</t>
      </text>
    </comment>
    <comment ref="K15" authorId="0" shapeId="0">
      <text>
        <t>该节点需要 BigNumber；不要用 GDScript int64 存价格。</t>
      </text>
    </comment>
    <comment ref="D16" authorId="0" shapeId="0">
      <text>
        <t>该节点需要 BigNumber；不要用 GDScript int64 存价格。</t>
      </text>
    </comment>
    <comment ref="E16" authorId="0" shapeId="0">
      <text>
        <t>该节点需要 BigNumber；不要用 GDScript int64 存价格。</t>
      </text>
    </comment>
    <comment ref="F16" authorId="0" shapeId="0">
      <text>
        <t>该节点需要 BigNumber；不要用 GDScript int64 存价格。</t>
      </text>
    </comment>
    <comment ref="G16" authorId="0" shapeId="0">
      <text>
        <t>该节点需要 BigNumber；不要用 GDScript int64 存价格。</t>
      </text>
    </comment>
    <comment ref="H16" authorId="0" shapeId="0">
      <text>
        <t>该节点需要 BigNumber；不要用 GDScript int64 存价格。</t>
      </text>
    </comment>
    <comment ref="I16" authorId="0" shapeId="0">
      <text>
        <t>该节点需要 BigNumber；不要用 GDScript int64 存价格。</t>
      </text>
    </comment>
    <comment ref="J16" authorId="0" shapeId="0">
      <text>
        <t>该节点需要 BigNumber；不要用 GDScript int64 存价格。</t>
      </text>
    </comment>
    <comment ref="K16" authorId="0" shapeId="0">
      <text>
        <t>该节点需要 BigNumber；不要用 GDScript int64 存价格。</t>
      </text>
    </comment>
    <comment ref="D17" authorId="0" shapeId="0">
      <text>
        <t>该节点需要 BigNumber；不要用 GDScript int64 存价格。</t>
      </text>
    </comment>
    <comment ref="E17" authorId="0" shapeId="0">
      <text>
        <t>该节点需要 BigNumber；不要用 GDScript int64 存价格。</t>
      </text>
    </comment>
    <comment ref="F17" authorId="0" shapeId="0">
      <text>
        <t>该节点需要 BigNumber；不要用 GDScript int64 存价格。</t>
      </text>
    </comment>
    <comment ref="G17" authorId="0" shapeId="0">
      <text>
        <t>该节点需要 BigNumber；不要用 GDScript int64 存价格。</t>
      </text>
    </comment>
    <comment ref="H17" authorId="0" shapeId="0">
      <text>
        <t>该节点需要 BigNumber；不要用 GDScript int64 存价格。</t>
      </text>
    </comment>
    <comment ref="I17" authorId="0" shapeId="0">
      <text>
        <t>该节点需要 BigNumber；不要用 GDScript int64 存价格。</t>
      </text>
    </comment>
    <comment ref="J17" authorId="0" shapeId="0">
      <text>
        <t>该节点需要 BigNumber；不要用 GDScript int64 存价格。</t>
      </text>
    </comment>
    <comment ref="K17" authorId="0" shapeId="0">
      <text>
        <t>该节点需要 BigNumber；不要用 GDScript int64 存价格。</t>
      </text>
    </comment>
    <comment ref="D18" authorId="0" shapeId="0">
      <text>
        <t>该节点需要 BigNumber；不要用 GDScript int64 存价格。</t>
      </text>
    </comment>
    <comment ref="E18" authorId="0" shapeId="0">
      <text>
        <t>该节点需要 BigNumber；不要用 GDScript int64 存价格。</t>
      </text>
    </comment>
    <comment ref="F18" authorId="0" shapeId="0">
      <text>
        <t>该节点需要 BigNumber；不要用 GDScript int64 存价格。</t>
      </text>
    </comment>
    <comment ref="G18" authorId="0" shapeId="0">
      <text>
        <t>该节点需要 BigNumber；不要用 GDScript int64 存价格。</t>
      </text>
    </comment>
    <comment ref="H18" authorId="0" shapeId="0">
      <text>
        <t>该节点需要 BigNumber；不要用 GDScript int64 存价格。</t>
      </text>
    </comment>
    <comment ref="I18" authorId="0" shapeId="0">
      <text>
        <t>该节点需要 BigNumber；不要用 GDScript int64 存价格。</t>
      </text>
    </comment>
    <comment ref="J18" authorId="0" shapeId="0">
      <text>
        <t>该节点需要 BigNumber；不要用 GDScript int64 存价格。</t>
      </text>
    </comment>
    <comment ref="K18" authorId="0" shapeId="0">
      <text>
        <t>该节点需要 BigNumber；不要用 GDScript int64 存价格。</t>
      </text>
    </comment>
    <comment ref="D19" authorId="0" shapeId="0">
      <text>
        <t>该节点需要 BigNumber；不要用 GDScript int64 存价格。</t>
      </text>
    </comment>
    <comment ref="E19" authorId="0" shapeId="0">
      <text>
        <t>该节点需要 BigNumber；不要用 GDScript int64 存价格。</t>
      </text>
    </comment>
    <comment ref="F19" authorId="0" shapeId="0">
      <text>
        <t>该节点需要 BigNumber；不要用 GDScript int64 存价格。</t>
      </text>
    </comment>
    <comment ref="G19" authorId="0" shapeId="0">
      <text>
        <t>该节点需要 BigNumber；不要用 GDScript int64 存价格。</t>
      </text>
    </comment>
    <comment ref="H19" authorId="0" shapeId="0">
      <text>
        <t>该节点需要 BigNumber；不要用 GDScript int64 存价格。</t>
      </text>
    </comment>
    <comment ref="I19" authorId="0" shapeId="0">
      <text>
        <t>该节点需要 BigNumber；不要用 GDScript int64 存价格。</t>
      </text>
    </comment>
    <comment ref="J19" authorId="0" shapeId="0">
      <text>
        <t>该节点需要 BigNumber；不要用 GDScript int64 存价格。</t>
      </text>
    </comment>
    <comment ref="K19" authorId="0" shapeId="0">
      <text>
        <t>该节点需要 BigNumber；不要用 GDScript int64 存价格。</t>
      </text>
    </comment>
    <comment ref="D20" authorId="0" shapeId="0">
      <text>
        <t>该节点需要 BigNumber；不要用 GDScript int64 存价格。</t>
      </text>
    </comment>
    <comment ref="E20" authorId="0" shapeId="0">
      <text>
        <t>该节点需要 BigNumber；不要用 GDScript int64 存价格。</t>
      </text>
    </comment>
    <comment ref="F20" authorId="0" shapeId="0">
      <text>
        <t>该节点需要 BigNumber；不要用 GDScript int64 存价格。</t>
      </text>
    </comment>
    <comment ref="G20" authorId="0" shapeId="0">
      <text>
        <t>该节点需要 BigNumber；不要用 GDScript int64 存价格。</t>
      </text>
    </comment>
    <comment ref="H20" authorId="0" shapeId="0">
      <text>
        <t>该节点需要 BigNumber；不要用 GDScript int64 存价格。</t>
      </text>
    </comment>
    <comment ref="I20" authorId="0" shapeId="0">
      <text>
        <t>该节点需要 BigNumber；不要用 GDScript int64 存价格。</t>
      </text>
    </comment>
    <comment ref="J20" authorId="0" shapeId="0">
      <text>
        <t>该节点需要 BigNumber；不要用 GDScript int64 存价格。</t>
      </text>
    </comment>
    <comment ref="K20" authorId="0" shapeId="0">
      <text>
        <t>该节点需要 BigNumber；不要用 GDScript int64 存价格。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23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urrentOres" displayName="CurrentOres" ref="A5:K13" headerRowCount="1">
  <autoFilter ref="A5:K13"/>
  <tableColumns count="11">
    <tableColumn id="1" name="ID"/>
    <tableColumn id="2" name="名称"/>
    <tableColumn id="3" name="Rarity"/>
    <tableColumn id="4" name="Weight"/>
    <tableColumn id="5" name="BaseValue"/>
    <tableColumn id="6" name="BaseHP"/>
    <tableColumn id="7" name="MaxLevel"/>
    <tableColumn id="8" name="价值成长"/>
    <tableColumn id="9" name="HP成长"/>
    <tableColumn id="10" name="当前随机概率"/>
    <tableColumn id="11" name="资源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rrentTiles" displayName="CurrentTiles" ref="A16:K27" headerRowCount="1">
  <autoFilter ref="A16:K27"/>
  <tableColumns count="11">
    <tableColumn id="1" name="ID"/>
    <tableColumn id="2" name="名称"/>
    <tableColumn id="3" name="Behavior"/>
    <tableColumn id="4" name="当前实际效果"/>
    <tableColumn id="5" name="周期/参数"/>
    <tableColumn id="6" name="V3 自动矿协同目标"/>
    <tableColumn id="7" name="当前可用"/>
    <tableColumn id="8" name="放置成本"/>
    <tableColumn id="9" name="库存"/>
    <tableColumn id="10" name="数量上限"/>
    <tableColumn id="11" name="关键风险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CCBuildingReference" displayName="CCBuildingReference" ref="A5:I13" headerRowCount="1">
  <autoFilter ref="A5:I13"/>
  <tableColumns count="9">
    <tableColumn id="1" name="槽位"/>
    <tableColumn id="2" name="建筑"/>
    <tableColumn id="3" name="BasePrice"/>
    <tableColumn id="4" name="BaseCPS"/>
    <tableColumn id="5" name="首座静态回本秒"/>
    <tableColumn id="6" name="相对Cursor价格"/>
    <tableColumn id="7" name="相对Cursor CPS"/>
    <tableColumn id="8" name="V3映射矿"/>
    <tableColumn id="9" name="V3缩放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id="4" name="CCTierReference" displayName="CCTierReference" ref="A16:I31" headerRowCount="1">
  <autoFilter ref="A16:I31"/>
  <tableColumns count="9">
    <tableColumn id="1" name="Tier"/>
    <tableColumn id="2" name="持有数解锁"/>
    <tableColumn id="3" name="价格系数×BasePrice"/>
    <tableColumn id="4" name="累计本建筑倍率"/>
    <tableColumn id="5" name="V3阶段"/>
    <tableColumn id="6" name="Advanced前置"/>
    <tableColumn id="7" name="按钮语义"/>
    <tableColumn id="8" name="数值安全"/>
    <tableColumn id="9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OreBuildingModel" displayName="OreBuildingModel" ref="A4:X12" headerRowCount="1">
  <autoFilter ref="A4:X12"/>
  <tableColumns count="24">
    <tableColumn id="1" name="Ore_ID"/>
    <tableColumn id="2" name="名称"/>
    <tableColumn id="3" name="CC槽"/>
    <tableColumn id="4" name="当前Value"/>
    <tableColumn id="5" name="当前HP"/>
    <tableColumn id="6" name="Weight"/>
    <tableColumn id="7" name="BasePrice"/>
    <tableColumn id="8" name="BaseCPS"/>
    <tableColumn id="9" name="PriceGrowth"/>
    <tableColumn id="10" name="UnlockCost"/>
    <tableColumn id="11" name="UnlockCondition"/>
    <tableColumn id="12" name="Owned*"/>
    <tableColumn id="13" name="TierUpgrades*"/>
    <tableColumn id="14" name="GoldOwned*"/>
    <tableColumn id="15" name="GoldLinkActive*"/>
    <tableColumn id="16" name="GoldDivisor"/>
    <tableColumn id="17" name="GoldLinksBought*"/>
    <tableColumn id="18" name="PairSynergyMult*"/>
    <tableColumn id="19" name="NextPrice"/>
    <tableColumn id="20" name="Bulk10"/>
    <tableColumn id="21" name="TierMult"/>
    <tableColumn id="22" name="GoldBoost"/>
    <tableColumn id="23" name="TotalCPS"/>
    <tableColumn id="24" name="首座静态回本秒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lentNodeMaster" displayName="TalentNodeMaster" ref="A4:W194" headerRowCount="1">
  <autoFilter ref="A4:W194"/>
  <tableColumns count="23">
    <tableColumn id="1" name="Node_ID"/>
    <tableColumn id="2" name="名称"/>
    <tableColumn id="3" name="树分组"/>
    <tableColumn id="4" name="分支"/>
    <tableColumn id="5" name="等级"/>
    <tableColumn id="6" name="前置_IDs"/>
    <tableColumn id="7" name="Advanced前置"/>
    <tableColumn id="8" name="解锁条件"/>
    <tableColumn id="9" name="货币"/>
    <tableColumn id="10" name="Cost_Number"/>
    <tableColumn id="11" name="Cost_Display"/>
    <tableColumn id="12" name="Cost_Mantissa"/>
    <tableColumn id="13" name="Cost_Exponent"/>
    <tableColumn id="14" name="Effect_Type"/>
    <tableColumn id="15" name="Target_IDs"/>
    <tableColumn id="16" name="Operation"/>
    <tableColumn id="17" name="Value"/>
    <tableColumn id="18" name="Secondary_Effect"/>
    <tableColumn id="19" name="玩家描述"/>
    <tableColumn id="20" name="阶段"/>
    <tableColumn id="21" name="Requires_BigNumber"/>
    <tableColumn id="22" name="实现说明"/>
    <tableColumn id="23" name="数值公式/依据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GoldLinks" displayName="GoldLinks" ref="A4:L11" headerRowCount="1">
  <autoFilter ref="A4:L11"/>
  <tableColumns count="12">
    <tableColumn id="1" name="Node_ID"/>
    <tableColumn id="2" name="按钮"/>
    <tableColumn id="3" name="目标矿"/>
    <tableColumn id="4" name="Gold除数"/>
    <tableColumn id="5" name="解锁"/>
    <tableColumn id="6" name="成本"/>
    <tableColumn id="7" name="目标倍率公式"/>
    <tableColumn id="8" name="Gold自身增量"/>
    <tableColumn id="9" name="阶段"/>
    <tableColumn id="10" name="参考回本"/>
    <tableColumn id="11" name="实现约束"/>
    <tableColumn id="12" name="跳转"/>
  </tableColumns>
  <tableStyleInfo name="TableStyleMedium12" showFirstColumn="0" showLastColumn="0" showRowStripes="1" showColumnStripes="0"/>
</table>
</file>

<file path=xl/tables/table8.xml><?xml version="1.0" encoding="utf-8"?>
<table xmlns="http://schemas.openxmlformats.org/spreadsheetml/2006/main" id="8" name="TerrainSynergyOverview" displayName="TerrainSynergyOverview" ref="A4:O15" headerRowCount="1">
  <autoFilter ref="A4:O15"/>
  <tableColumns count="15">
    <tableColumn id="1" name="Tile_ID"/>
    <tableColumn id="2" name="名称"/>
    <tableColumn id="3" name="当前行为"/>
    <tableColumn id="4" name="作用域"/>
    <tableColumn id="5" name="目标自动矿"/>
    <tableColumn id="6" name="I门槛"/>
    <tableColumn id="7" name="I倍率/10"/>
    <tableColumn id="8" name="I成本"/>
    <tableColumn id="9" name="II门槛"/>
    <tableColumn id="10" name="II倍率/10"/>
    <tableColumn id="11" name="II成本"/>
    <tableColumn id="12" name="III门槛"/>
    <tableColumn id="13" name="III倍率/10"/>
    <tableColumn id="14" name="III成本"/>
    <tableColumn id="15" name="设计备注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TileEconomyModel" displayName="TileEconomyModel" ref="A4:O15" headerRowCount="1">
  <autoFilter ref="A4:O15"/>
  <tableColumns count="15">
    <tableColumn id="1" name="Tile_ID"/>
    <tableColumn id="2" name="名称"/>
    <tableColumn id="3" name="Behavior"/>
    <tableColumn id="4" name="BasePlaceCost"/>
    <tableColumn id="5" name="FreeOwned"/>
    <tableColumn id="6" name="Owned*"/>
    <tableColumn id="7" name="Inventory*"/>
    <tableColumn id="8" name="PlacedConnected*"/>
    <tableColumn id="9" name="PriceGrowth"/>
    <tableColumn id="10" name="PaidOwned"/>
    <tableColumn id="11" name="NextPrice"/>
    <tableColumn id="12" name="Bulk10"/>
    <tableColumn id="13" name="状态校验"/>
    <tableColumn id="14" name="解锁节点"/>
    <tableColumn id="15" name="目标矿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UnlockROI" displayName="UnlockROI" ref="A12:O20" headerRowCount="1">
  <autoFilter ref="A12:O20"/>
  <tableColumns count="15">
    <tableColumn id="1" name="矿"/>
    <tableColumn id="2" name="UnlockCost"/>
    <tableColumn id="3" name="BasePrice"/>
    <tableColumn id="4" name="BaseCPS"/>
    <tableColumn id="5" name="直接前置矿"/>
    <tableColumn id="6" name="直接数量"/>
    <tableColumn id="7" name="累计前置持有"/>
    <tableColumn id="8" name="达门槛最低自动CPS"/>
    <tableColumn id="9" name="门槛建筑库存成本"/>
    <tableColumn id="10" name="Unlock+首座投入"/>
    <tableColumn id="11" name="达门槛后等待秒"/>
    <tableColumn id="12" name="首座静态回本秒"/>
    <tableColumn id="13" name="Unlock+首座自身回本秒"/>
    <tableColumn id="14" name="节奏判断"/>
    <tableColumn id="15" name="公式/备注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PriceCurve" displayName="PriceCurve" ref="A24:K33" headerRowCount="1">
  <autoFilter ref="A24:K33"/>
  <tableColumns count="11">
    <tableColumn id="1" name="Owned"/>
    <tableColumn id="2" name="煤矿"/>
    <tableColumn id="3" name="铁矿"/>
    <tableColumn id="4" name="锌矿"/>
    <tableColumn id="5" name="金矿"/>
    <tableColumn id="6" name="水晶矿"/>
    <tableColumn id="7" name="黑曜石"/>
    <tableColumn id="8" name="钻石矿"/>
    <tableColumn id="9" name="猫矿"/>
    <tableColumn id="10" name="最大值/int64"/>
    <tableColumn id="11" name="BigNumber?"/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id="12" name="AdvancedTalentNodes" displayName="AdvancedTalentNodes" ref="A4:I17" headerRowCount="1">
  <autoFilter ref="A4:I17"/>
  <tableColumns count="9">
    <tableColumn id="1" name="Node_ID"/>
    <tableColumn id="2" name="名称"/>
    <tableColumn id="3" name="Cost_Prestige"/>
    <tableColumn id="4" name="前置_IDs"/>
    <tableColumn id="5" name="效果描述"/>
    <tableColumn id="6" name="Effect_Type"/>
    <tableColumn id="7" name="Value"/>
    <tableColumn id="8" name="阶段作用"/>
    <tableColumn id="9" name="实现备注"/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id="13" name="ImplementationPhases" displayName="ImplementationPhases" ref="A5:J14" headerRowCount="1">
  <autoFilter ref="A5:J14"/>
  <tableColumns count="10">
    <tableColumn id="1" name="阶段"/>
    <tableColumn id="2" name="新增模块/数据"/>
    <tableColumn id="3" name="主要职责"/>
    <tableColumn id="4" name="改造入口"/>
    <tableColumn id="5" name="完成标准"/>
    <tableColumn id="6" name="风险"/>
    <tableColumn id="7" name="优先级"/>
    <tableColumn id="8" name="依赖"/>
    <tableColumn id="9" name="存档字段"/>
    <tableColumn id="10" name="测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urrent_Project'!A1" TargetMode="External" Id="rId1"/><Relationship Type="http://schemas.openxmlformats.org/officeDocument/2006/relationships/hyperlink" Target="#'Ore_Buildings'!A1" TargetMode="External" Id="rId2"/><Relationship Type="http://schemas.openxmlformats.org/officeDocument/2006/relationships/hyperlink" Target="#'Ore_Upgrade_Tree'!A1" TargetMode="External" Id="rId3"/><Relationship Type="http://schemas.openxmlformats.org/officeDocument/2006/relationships/hyperlink" Target="#'Talent_Nodes'!A1" TargetMode="External" Id="rId4"/><Relationship Type="http://schemas.openxmlformats.org/officeDocument/2006/relationships/hyperlink" Target="#'Gold_Synergies'!A1" TargetMode="External" Id="rId5"/><Relationship Type="http://schemas.openxmlformats.org/officeDocument/2006/relationships/hyperlink" Target="#'Terrain_Synergies'!A1" TargetMode="External" Id="rId6"/><Relationship Type="http://schemas.openxmlformats.org/officeDocument/2006/relationships/hyperlink" Target="#'Tile_Economy'!A1" TargetMode="External" Id="rId7"/><Relationship Type="http://schemas.openxmlformats.org/officeDocument/2006/relationships/hyperlink" Target="#'Balance'!A1" TargetMode="External" Id="rId8"/><Relationship Type="http://schemas.openxmlformats.org/officeDocument/2006/relationships/hyperlink" Target="#'Implementation'!A1" TargetMode="External" Id="rId9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orteil.dashnet.org/cookieclicker/" TargetMode="External" Id="rId1"/><Relationship Type="http://schemas.openxmlformats.org/officeDocument/2006/relationships/hyperlink" Target="https://cookieclicker.wiki.gg/wiki/Buildings" TargetMode="External" Id="rId2"/><Relationship Type="http://schemas.openxmlformats.org/officeDocument/2006/relationships/hyperlink" Target="https://cookieclicker.wiki.gg/wiki/Grandma" TargetMode="External" Id="rId3"/><Relationship Type="http://schemas.openxmlformats.org/officeDocument/2006/relationships/hyperlink" Target="https://github.com/ozh/cookieclicker/blob/gh-pages/main.js#L7894-L8026" TargetMode="External" Id="rId4"/><Relationship Type="http://schemas.openxmlformats.org/officeDocument/2006/relationships/hyperlink" Target="https://github.com/ozh/cookieclicker/blob/gh-pages/main.js#L10005-L10117" TargetMode="External" Id="rId5"/><Relationship Type="http://schemas.openxmlformats.org/officeDocument/2006/relationships/hyperlink" Target="https://github.com/ozh/cookieclicker/blob/gh-pages/main.js#L10224-L10246" TargetMode="External" Id="rId6"/><Relationship Type="http://schemas.openxmlformats.org/officeDocument/2006/relationships/hyperlink" Target="https://github.com/ozh/cookieclicker/blob/gh-pages/main.js#L11001-L11034" TargetMode="External" Id="rId7"/><Relationship Type="http://schemas.openxmlformats.org/officeDocument/2006/relationships/table" Target="/xl/tables/table3.xml" Id="rId8"/><Relationship Type="http://schemas.openxmlformats.org/officeDocument/2006/relationships/table" Target="/xl/tables/table4.xml" Id="rId9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Talent_Nodes'!A5" TargetMode="External" Id="rId1"/><Relationship Type="http://schemas.openxmlformats.org/officeDocument/2006/relationships/hyperlink" Target="#'Talent_Nodes'!A21" TargetMode="External" Id="rId2"/><Relationship Type="http://schemas.openxmlformats.org/officeDocument/2006/relationships/hyperlink" Target="#'Talent_Nodes'!A37" TargetMode="External" Id="rId3"/><Relationship Type="http://schemas.openxmlformats.org/officeDocument/2006/relationships/hyperlink" Target="#'Talent_Nodes'!A53" TargetMode="External" Id="rId4"/><Relationship Type="http://schemas.openxmlformats.org/officeDocument/2006/relationships/hyperlink" Target="#'Talent_Nodes'!A69" TargetMode="External" Id="rId5"/><Relationship Type="http://schemas.openxmlformats.org/officeDocument/2006/relationships/hyperlink" Target="#'Talent_Nodes'!A85" TargetMode="External" Id="rId6"/><Relationship Type="http://schemas.openxmlformats.org/officeDocument/2006/relationships/hyperlink" Target="#'Talent_Nodes'!A101" TargetMode="External" Id="rId7"/><Relationship Type="http://schemas.openxmlformats.org/officeDocument/2006/relationships/hyperlink" Target="#'Talent_Nodes'!A117" TargetMode="External" Id="rId8"/><Relationship Type="http://schemas.openxmlformats.org/officeDocument/2006/relationships/hyperlink" Target="#'Talent_Nodes'!A6" TargetMode="External" Id="rId9"/><Relationship Type="http://schemas.openxmlformats.org/officeDocument/2006/relationships/hyperlink" Target="#'Talent_Nodes'!A22" TargetMode="External" Id="rId10"/><Relationship Type="http://schemas.openxmlformats.org/officeDocument/2006/relationships/hyperlink" Target="#'Talent_Nodes'!A38" TargetMode="External" Id="rId11"/><Relationship Type="http://schemas.openxmlformats.org/officeDocument/2006/relationships/hyperlink" Target="#'Talent_Nodes'!A54" TargetMode="External" Id="rId12"/><Relationship Type="http://schemas.openxmlformats.org/officeDocument/2006/relationships/hyperlink" Target="#'Talent_Nodes'!A70" TargetMode="External" Id="rId13"/><Relationship Type="http://schemas.openxmlformats.org/officeDocument/2006/relationships/hyperlink" Target="#'Talent_Nodes'!A86" TargetMode="External" Id="rId14"/><Relationship Type="http://schemas.openxmlformats.org/officeDocument/2006/relationships/hyperlink" Target="#'Talent_Nodes'!A102" TargetMode="External" Id="rId15"/><Relationship Type="http://schemas.openxmlformats.org/officeDocument/2006/relationships/hyperlink" Target="#'Talent_Nodes'!A118" TargetMode="External" Id="rId16"/><Relationship Type="http://schemas.openxmlformats.org/officeDocument/2006/relationships/hyperlink" Target="#'Talent_Nodes'!A7" TargetMode="External" Id="rId17"/><Relationship Type="http://schemas.openxmlformats.org/officeDocument/2006/relationships/hyperlink" Target="#'Talent_Nodes'!A23" TargetMode="External" Id="rId18"/><Relationship Type="http://schemas.openxmlformats.org/officeDocument/2006/relationships/hyperlink" Target="#'Talent_Nodes'!A39" TargetMode="External" Id="rId19"/><Relationship Type="http://schemas.openxmlformats.org/officeDocument/2006/relationships/hyperlink" Target="#'Talent_Nodes'!A55" TargetMode="External" Id="rId20"/><Relationship Type="http://schemas.openxmlformats.org/officeDocument/2006/relationships/hyperlink" Target="#'Talent_Nodes'!A71" TargetMode="External" Id="rId21"/><Relationship Type="http://schemas.openxmlformats.org/officeDocument/2006/relationships/hyperlink" Target="#'Talent_Nodes'!A87" TargetMode="External" Id="rId22"/><Relationship Type="http://schemas.openxmlformats.org/officeDocument/2006/relationships/hyperlink" Target="#'Talent_Nodes'!A103" TargetMode="External" Id="rId23"/><Relationship Type="http://schemas.openxmlformats.org/officeDocument/2006/relationships/hyperlink" Target="#'Talent_Nodes'!A119" TargetMode="External" Id="rId24"/><Relationship Type="http://schemas.openxmlformats.org/officeDocument/2006/relationships/hyperlink" Target="#'Talent_Nodes'!A8" TargetMode="External" Id="rId25"/><Relationship Type="http://schemas.openxmlformats.org/officeDocument/2006/relationships/hyperlink" Target="#'Talent_Nodes'!A24" TargetMode="External" Id="rId26"/><Relationship Type="http://schemas.openxmlformats.org/officeDocument/2006/relationships/hyperlink" Target="#'Talent_Nodes'!A40" TargetMode="External" Id="rId27"/><Relationship Type="http://schemas.openxmlformats.org/officeDocument/2006/relationships/hyperlink" Target="#'Talent_Nodes'!A56" TargetMode="External" Id="rId28"/><Relationship Type="http://schemas.openxmlformats.org/officeDocument/2006/relationships/hyperlink" Target="#'Talent_Nodes'!A72" TargetMode="External" Id="rId29"/><Relationship Type="http://schemas.openxmlformats.org/officeDocument/2006/relationships/hyperlink" Target="#'Talent_Nodes'!A88" TargetMode="External" Id="rId30"/><Relationship Type="http://schemas.openxmlformats.org/officeDocument/2006/relationships/hyperlink" Target="#'Talent_Nodes'!A104" TargetMode="External" Id="rId31"/><Relationship Type="http://schemas.openxmlformats.org/officeDocument/2006/relationships/hyperlink" Target="#'Talent_Nodes'!A120" TargetMode="External" Id="rId32"/><Relationship Type="http://schemas.openxmlformats.org/officeDocument/2006/relationships/hyperlink" Target="#'Talent_Nodes'!A9" TargetMode="External" Id="rId33"/><Relationship Type="http://schemas.openxmlformats.org/officeDocument/2006/relationships/hyperlink" Target="#'Talent_Nodes'!A25" TargetMode="External" Id="rId34"/><Relationship Type="http://schemas.openxmlformats.org/officeDocument/2006/relationships/hyperlink" Target="#'Talent_Nodes'!A41" TargetMode="External" Id="rId35"/><Relationship Type="http://schemas.openxmlformats.org/officeDocument/2006/relationships/hyperlink" Target="#'Talent_Nodes'!A57" TargetMode="External" Id="rId36"/><Relationship Type="http://schemas.openxmlformats.org/officeDocument/2006/relationships/hyperlink" Target="#'Talent_Nodes'!A73" TargetMode="External" Id="rId37"/><Relationship Type="http://schemas.openxmlformats.org/officeDocument/2006/relationships/hyperlink" Target="#'Talent_Nodes'!A89" TargetMode="External" Id="rId38"/><Relationship Type="http://schemas.openxmlformats.org/officeDocument/2006/relationships/hyperlink" Target="#'Talent_Nodes'!A105" TargetMode="External" Id="rId39"/><Relationship Type="http://schemas.openxmlformats.org/officeDocument/2006/relationships/hyperlink" Target="#'Talent_Nodes'!A121" TargetMode="External" Id="rId40"/><Relationship Type="http://schemas.openxmlformats.org/officeDocument/2006/relationships/hyperlink" Target="#'Talent_Nodes'!A10" TargetMode="External" Id="rId41"/><Relationship Type="http://schemas.openxmlformats.org/officeDocument/2006/relationships/hyperlink" Target="#'Talent_Nodes'!A26" TargetMode="External" Id="rId42"/><Relationship Type="http://schemas.openxmlformats.org/officeDocument/2006/relationships/hyperlink" Target="#'Talent_Nodes'!A42" TargetMode="External" Id="rId43"/><Relationship Type="http://schemas.openxmlformats.org/officeDocument/2006/relationships/hyperlink" Target="#'Talent_Nodes'!A58" TargetMode="External" Id="rId44"/><Relationship Type="http://schemas.openxmlformats.org/officeDocument/2006/relationships/hyperlink" Target="#'Talent_Nodes'!A74" TargetMode="External" Id="rId45"/><Relationship Type="http://schemas.openxmlformats.org/officeDocument/2006/relationships/hyperlink" Target="#'Talent_Nodes'!A90" TargetMode="External" Id="rId46"/><Relationship Type="http://schemas.openxmlformats.org/officeDocument/2006/relationships/hyperlink" Target="#'Talent_Nodes'!A106" TargetMode="External" Id="rId47"/><Relationship Type="http://schemas.openxmlformats.org/officeDocument/2006/relationships/hyperlink" Target="#'Talent_Nodes'!A122" TargetMode="External" Id="rId48"/><Relationship Type="http://schemas.openxmlformats.org/officeDocument/2006/relationships/hyperlink" Target="#'Talent_Nodes'!A11" TargetMode="External" Id="rId49"/><Relationship Type="http://schemas.openxmlformats.org/officeDocument/2006/relationships/hyperlink" Target="#'Talent_Nodes'!A27" TargetMode="External" Id="rId50"/><Relationship Type="http://schemas.openxmlformats.org/officeDocument/2006/relationships/hyperlink" Target="#'Talent_Nodes'!A43" TargetMode="External" Id="rId51"/><Relationship Type="http://schemas.openxmlformats.org/officeDocument/2006/relationships/hyperlink" Target="#'Talent_Nodes'!A59" TargetMode="External" Id="rId52"/><Relationship Type="http://schemas.openxmlformats.org/officeDocument/2006/relationships/hyperlink" Target="#'Talent_Nodes'!A75" TargetMode="External" Id="rId53"/><Relationship Type="http://schemas.openxmlformats.org/officeDocument/2006/relationships/hyperlink" Target="#'Talent_Nodes'!A91" TargetMode="External" Id="rId54"/><Relationship Type="http://schemas.openxmlformats.org/officeDocument/2006/relationships/hyperlink" Target="#'Talent_Nodes'!A107" TargetMode="External" Id="rId55"/><Relationship Type="http://schemas.openxmlformats.org/officeDocument/2006/relationships/hyperlink" Target="#'Talent_Nodes'!A123" TargetMode="External" Id="rId56"/><Relationship Type="http://schemas.openxmlformats.org/officeDocument/2006/relationships/hyperlink" Target="#'Talent_Nodes'!A12" TargetMode="External" Id="rId57"/><Relationship Type="http://schemas.openxmlformats.org/officeDocument/2006/relationships/hyperlink" Target="#'Talent_Nodes'!A28" TargetMode="External" Id="rId58"/><Relationship Type="http://schemas.openxmlformats.org/officeDocument/2006/relationships/hyperlink" Target="#'Talent_Nodes'!A44" TargetMode="External" Id="rId59"/><Relationship Type="http://schemas.openxmlformats.org/officeDocument/2006/relationships/hyperlink" Target="#'Talent_Nodes'!A60" TargetMode="External" Id="rId60"/><Relationship Type="http://schemas.openxmlformats.org/officeDocument/2006/relationships/hyperlink" Target="#'Talent_Nodes'!A76" TargetMode="External" Id="rId61"/><Relationship Type="http://schemas.openxmlformats.org/officeDocument/2006/relationships/hyperlink" Target="#'Talent_Nodes'!A92" TargetMode="External" Id="rId62"/><Relationship Type="http://schemas.openxmlformats.org/officeDocument/2006/relationships/hyperlink" Target="#'Talent_Nodes'!A108" TargetMode="External" Id="rId63"/><Relationship Type="http://schemas.openxmlformats.org/officeDocument/2006/relationships/hyperlink" Target="#'Talent_Nodes'!A124" TargetMode="External" Id="rId64"/><Relationship Type="http://schemas.openxmlformats.org/officeDocument/2006/relationships/hyperlink" Target="#'Talent_Nodes'!A13" TargetMode="External" Id="rId65"/><Relationship Type="http://schemas.openxmlformats.org/officeDocument/2006/relationships/hyperlink" Target="#'Talent_Nodes'!A29" TargetMode="External" Id="rId66"/><Relationship Type="http://schemas.openxmlformats.org/officeDocument/2006/relationships/hyperlink" Target="#'Talent_Nodes'!A45" TargetMode="External" Id="rId67"/><Relationship Type="http://schemas.openxmlformats.org/officeDocument/2006/relationships/hyperlink" Target="#'Talent_Nodes'!A61" TargetMode="External" Id="rId68"/><Relationship Type="http://schemas.openxmlformats.org/officeDocument/2006/relationships/hyperlink" Target="#'Talent_Nodes'!A77" TargetMode="External" Id="rId69"/><Relationship Type="http://schemas.openxmlformats.org/officeDocument/2006/relationships/hyperlink" Target="#'Talent_Nodes'!A93" TargetMode="External" Id="rId70"/><Relationship Type="http://schemas.openxmlformats.org/officeDocument/2006/relationships/hyperlink" Target="#'Talent_Nodes'!A109" TargetMode="External" Id="rId71"/><Relationship Type="http://schemas.openxmlformats.org/officeDocument/2006/relationships/hyperlink" Target="#'Talent_Nodes'!A125" TargetMode="External" Id="rId72"/><Relationship Type="http://schemas.openxmlformats.org/officeDocument/2006/relationships/hyperlink" Target="#'Talent_Nodes'!A14" TargetMode="External" Id="rId73"/><Relationship Type="http://schemas.openxmlformats.org/officeDocument/2006/relationships/hyperlink" Target="#'Talent_Nodes'!A30" TargetMode="External" Id="rId74"/><Relationship Type="http://schemas.openxmlformats.org/officeDocument/2006/relationships/hyperlink" Target="#'Talent_Nodes'!A46" TargetMode="External" Id="rId75"/><Relationship Type="http://schemas.openxmlformats.org/officeDocument/2006/relationships/hyperlink" Target="#'Talent_Nodes'!A62" TargetMode="External" Id="rId76"/><Relationship Type="http://schemas.openxmlformats.org/officeDocument/2006/relationships/hyperlink" Target="#'Talent_Nodes'!A78" TargetMode="External" Id="rId77"/><Relationship Type="http://schemas.openxmlformats.org/officeDocument/2006/relationships/hyperlink" Target="#'Talent_Nodes'!A94" TargetMode="External" Id="rId78"/><Relationship Type="http://schemas.openxmlformats.org/officeDocument/2006/relationships/hyperlink" Target="#'Talent_Nodes'!A110" TargetMode="External" Id="rId79"/><Relationship Type="http://schemas.openxmlformats.org/officeDocument/2006/relationships/hyperlink" Target="#'Talent_Nodes'!A126" TargetMode="External" Id="rId80"/><Relationship Type="http://schemas.openxmlformats.org/officeDocument/2006/relationships/hyperlink" Target="#'Talent_Nodes'!A15" TargetMode="External" Id="rId81"/><Relationship Type="http://schemas.openxmlformats.org/officeDocument/2006/relationships/hyperlink" Target="#'Talent_Nodes'!A31" TargetMode="External" Id="rId82"/><Relationship Type="http://schemas.openxmlformats.org/officeDocument/2006/relationships/hyperlink" Target="#'Talent_Nodes'!A47" TargetMode="External" Id="rId83"/><Relationship Type="http://schemas.openxmlformats.org/officeDocument/2006/relationships/hyperlink" Target="#'Talent_Nodes'!A63" TargetMode="External" Id="rId84"/><Relationship Type="http://schemas.openxmlformats.org/officeDocument/2006/relationships/hyperlink" Target="#'Talent_Nodes'!A79" TargetMode="External" Id="rId85"/><Relationship Type="http://schemas.openxmlformats.org/officeDocument/2006/relationships/hyperlink" Target="#'Talent_Nodes'!A95" TargetMode="External" Id="rId86"/><Relationship Type="http://schemas.openxmlformats.org/officeDocument/2006/relationships/hyperlink" Target="#'Talent_Nodes'!A111" TargetMode="External" Id="rId87"/><Relationship Type="http://schemas.openxmlformats.org/officeDocument/2006/relationships/hyperlink" Target="#'Talent_Nodes'!A127" TargetMode="External" Id="rId88"/><Relationship Type="http://schemas.openxmlformats.org/officeDocument/2006/relationships/hyperlink" Target="#'Talent_Nodes'!A16" TargetMode="External" Id="rId89"/><Relationship Type="http://schemas.openxmlformats.org/officeDocument/2006/relationships/hyperlink" Target="#'Talent_Nodes'!A32" TargetMode="External" Id="rId90"/><Relationship Type="http://schemas.openxmlformats.org/officeDocument/2006/relationships/hyperlink" Target="#'Talent_Nodes'!A48" TargetMode="External" Id="rId91"/><Relationship Type="http://schemas.openxmlformats.org/officeDocument/2006/relationships/hyperlink" Target="#'Talent_Nodes'!A64" TargetMode="External" Id="rId92"/><Relationship Type="http://schemas.openxmlformats.org/officeDocument/2006/relationships/hyperlink" Target="#'Talent_Nodes'!A80" TargetMode="External" Id="rId93"/><Relationship Type="http://schemas.openxmlformats.org/officeDocument/2006/relationships/hyperlink" Target="#'Talent_Nodes'!A96" TargetMode="External" Id="rId94"/><Relationship Type="http://schemas.openxmlformats.org/officeDocument/2006/relationships/hyperlink" Target="#'Talent_Nodes'!A112" TargetMode="External" Id="rId95"/><Relationship Type="http://schemas.openxmlformats.org/officeDocument/2006/relationships/hyperlink" Target="#'Talent_Nodes'!A128" TargetMode="External" Id="rId96"/><Relationship Type="http://schemas.openxmlformats.org/officeDocument/2006/relationships/hyperlink" Target="#'Talent_Nodes'!A17" TargetMode="External" Id="rId97"/><Relationship Type="http://schemas.openxmlformats.org/officeDocument/2006/relationships/hyperlink" Target="#'Talent_Nodes'!A33" TargetMode="External" Id="rId98"/><Relationship Type="http://schemas.openxmlformats.org/officeDocument/2006/relationships/hyperlink" Target="#'Talent_Nodes'!A49" TargetMode="External" Id="rId99"/><Relationship Type="http://schemas.openxmlformats.org/officeDocument/2006/relationships/hyperlink" Target="#'Talent_Nodes'!A65" TargetMode="External" Id="rId100"/><Relationship Type="http://schemas.openxmlformats.org/officeDocument/2006/relationships/hyperlink" Target="#'Talent_Nodes'!A81" TargetMode="External" Id="rId101"/><Relationship Type="http://schemas.openxmlformats.org/officeDocument/2006/relationships/hyperlink" Target="#'Talent_Nodes'!A97" TargetMode="External" Id="rId102"/><Relationship Type="http://schemas.openxmlformats.org/officeDocument/2006/relationships/hyperlink" Target="#'Talent_Nodes'!A113" TargetMode="External" Id="rId103"/><Relationship Type="http://schemas.openxmlformats.org/officeDocument/2006/relationships/hyperlink" Target="#'Talent_Nodes'!A129" TargetMode="External" Id="rId104"/><Relationship Type="http://schemas.openxmlformats.org/officeDocument/2006/relationships/hyperlink" Target="#'Talent_Nodes'!A18" TargetMode="External" Id="rId105"/><Relationship Type="http://schemas.openxmlformats.org/officeDocument/2006/relationships/hyperlink" Target="#'Talent_Nodes'!A34" TargetMode="External" Id="rId106"/><Relationship Type="http://schemas.openxmlformats.org/officeDocument/2006/relationships/hyperlink" Target="#'Talent_Nodes'!A50" TargetMode="External" Id="rId107"/><Relationship Type="http://schemas.openxmlformats.org/officeDocument/2006/relationships/hyperlink" Target="#'Talent_Nodes'!A66" TargetMode="External" Id="rId108"/><Relationship Type="http://schemas.openxmlformats.org/officeDocument/2006/relationships/hyperlink" Target="#'Talent_Nodes'!A82" TargetMode="External" Id="rId109"/><Relationship Type="http://schemas.openxmlformats.org/officeDocument/2006/relationships/hyperlink" Target="#'Talent_Nodes'!A98" TargetMode="External" Id="rId110"/><Relationship Type="http://schemas.openxmlformats.org/officeDocument/2006/relationships/hyperlink" Target="#'Talent_Nodes'!A114" TargetMode="External" Id="rId111"/><Relationship Type="http://schemas.openxmlformats.org/officeDocument/2006/relationships/hyperlink" Target="#'Talent_Nodes'!A130" TargetMode="External" Id="rId112"/><Relationship Type="http://schemas.openxmlformats.org/officeDocument/2006/relationships/hyperlink" Target="#'Talent_Nodes'!A19" TargetMode="External" Id="rId113"/><Relationship Type="http://schemas.openxmlformats.org/officeDocument/2006/relationships/hyperlink" Target="#'Talent_Nodes'!A35" TargetMode="External" Id="rId114"/><Relationship Type="http://schemas.openxmlformats.org/officeDocument/2006/relationships/hyperlink" Target="#'Talent_Nodes'!A51" TargetMode="External" Id="rId115"/><Relationship Type="http://schemas.openxmlformats.org/officeDocument/2006/relationships/hyperlink" Target="#'Talent_Nodes'!A67" TargetMode="External" Id="rId116"/><Relationship Type="http://schemas.openxmlformats.org/officeDocument/2006/relationships/hyperlink" Target="#'Talent_Nodes'!A83" TargetMode="External" Id="rId117"/><Relationship Type="http://schemas.openxmlformats.org/officeDocument/2006/relationships/hyperlink" Target="#'Talent_Nodes'!A99" TargetMode="External" Id="rId118"/><Relationship Type="http://schemas.openxmlformats.org/officeDocument/2006/relationships/hyperlink" Target="#'Talent_Nodes'!A115" TargetMode="External" Id="rId119"/><Relationship Type="http://schemas.openxmlformats.org/officeDocument/2006/relationships/hyperlink" Target="#'Talent_Nodes'!A131" TargetMode="External" Id="rId120"/><Relationship Type="http://schemas.openxmlformats.org/officeDocument/2006/relationships/hyperlink" Target="#'Talent_Nodes'!A20" TargetMode="External" Id="rId121"/><Relationship Type="http://schemas.openxmlformats.org/officeDocument/2006/relationships/hyperlink" Target="#'Talent_Nodes'!A36" TargetMode="External" Id="rId122"/><Relationship Type="http://schemas.openxmlformats.org/officeDocument/2006/relationships/hyperlink" Target="#'Talent_Nodes'!A52" TargetMode="External" Id="rId123"/><Relationship Type="http://schemas.openxmlformats.org/officeDocument/2006/relationships/hyperlink" Target="#'Talent_Nodes'!A68" TargetMode="External" Id="rId124"/><Relationship Type="http://schemas.openxmlformats.org/officeDocument/2006/relationships/hyperlink" Target="#'Talent_Nodes'!A84" TargetMode="External" Id="rId125"/><Relationship Type="http://schemas.openxmlformats.org/officeDocument/2006/relationships/hyperlink" Target="#'Talent_Nodes'!A100" TargetMode="External" Id="rId126"/><Relationship Type="http://schemas.openxmlformats.org/officeDocument/2006/relationships/hyperlink" Target="#'Talent_Nodes'!A116" TargetMode="External" Id="rId127"/><Relationship Type="http://schemas.openxmlformats.org/officeDocument/2006/relationships/hyperlink" Target="#'Talent_Nodes'!A132" TargetMode="External" Id="rId12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#'Talent_Nodes'!A144" TargetMode="External" Id="rId1"/><Relationship Type="http://schemas.openxmlformats.org/officeDocument/2006/relationships/hyperlink" Target="#'Talent_Nodes'!A145" TargetMode="External" Id="rId2"/><Relationship Type="http://schemas.openxmlformats.org/officeDocument/2006/relationships/hyperlink" Target="#'Talent_Nodes'!A146" TargetMode="External" Id="rId3"/><Relationship Type="http://schemas.openxmlformats.org/officeDocument/2006/relationships/hyperlink" Target="#'Talent_Nodes'!A147" TargetMode="External" Id="rId4"/><Relationship Type="http://schemas.openxmlformats.org/officeDocument/2006/relationships/hyperlink" Target="#'Talent_Nodes'!A148" TargetMode="External" Id="rId5"/><Relationship Type="http://schemas.openxmlformats.org/officeDocument/2006/relationships/hyperlink" Target="#'Talent_Nodes'!A149" TargetMode="External" Id="rId6"/><Relationship Type="http://schemas.openxmlformats.org/officeDocument/2006/relationships/hyperlink" Target="#'Talent_Nodes'!A150" TargetMode="External" Id="rId7"/><Relationship Type="http://schemas.openxmlformats.org/officeDocument/2006/relationships/hyperlink" Target="#'Talent_Nodes'!A151" TargetMode="External" Id="rId8"/><Relationship Type="http://schemas.openxmlformats.org/officeDocument/2006/relationships/hyperlink" Target="#'Talent_Nodes'!A152" TargetMode="External" Id="rId9"/><Relationship Type="http://schemas.openxmlformats.org/officeDocument/2006/relationships/hyperlink" Target="#'Talent_Nodes'!A153" TargetMode="External" Id="rId10"/><Relationship Type="http://schemas.openxmlformats.org/officeDocument/2006/relationships/hyperlink" Target="#'Talent_Nodes'!A154" TargetMode="External" Id="rId11"/><Relationship Type="http://schemas.openxmlformats.org/officeDocument/2006/relationships/hyperlink" Target="#'Talent_Nodes'!A155" TargetMode="External" Id="rId12"/><Relationship Type="http://schemas.openxmlformats.org/officeDocument/2006/relationships/hyperlink" Target="#'Talent_Nodes'!A156" TargetMode="External" Id="rId13"/><Relationship Type="http://schemas.openxmlformats.org/officeDocument/2006/relationships/hyperlink" Target="#'Talent_Nodes'!A157" TargetMode="External" Id="rId14"/><Relationship Type="http://schemas.openxmlformats.org/officeDocument/2006/relationships/hyperlink" Target="#'Talent_Nodes'!A158" TargetMode="External" Id="rId15"/><Relationship Type="http://schemas.openxmlformats.org/officeDocument/2006/relationships/hyperlink" Target="#'Talent_Nodes'!A159" TargetMode="External" Id="rId16"/><Relationship Type="http://schemas.openxmlformats.org/officeDocument/2006/relationships/hyperlink" Target="#'Talent_Nodes'!A160" TargetMode="External" Id="rId17"/><Relationship Type="http://schemas.openxmlformats.org/officeDocument/2006/relationships/hyperlink" Target="#'Talent_Nodes'!A161" TargetMode="External" Id="rId18"/><Relationship Type="http://schemas.openxmlformats.org/officeDocument/2006/relationships/table" Target="/xl/tables/table7.xml" Id="rId19"/></Relationships>
</file>

<file path=xl/worksheets/_rels/sheet8.xml.rels><Relationships xmlns="http://schemas.openxmlformats.org/package/2006/relationships"><Relationship Type="http://schemas.openxmlformats.org/officeDocument/2006/relationships/hyperlink" Target="#'Talent_Nodes'!A162" TargetMode="External" Id="rId1"/><Relationship Type="http://schemas.openxmlformats.org/officeDocument/2006/relationships/hyperlink" Target="#'Talent_Nodes'!A163" TargetMode="External" Id="rId2"/><Relationship Type="http://schemas.openxmlformats.org/officeDocument/2006/relationships/hyperlink" Target="#'Talent_Nodes'!A164" TargetMode="External" Id="rId3"/><Relationship Type="http://schemas.openxmlformats.org/officeDocument/2006/relationships/hyperlink" Target="#'Talent_Nodes'!A165" TargetMode="External" Id="rId4"/><Relationship Type="http://schemas.openxmlformats.org/officeDocument/2006/relationships/hyperlink" Target="#'Talent_Nodes'!A166" TargetMode="External" Id="rId5"/><Relationship Type="http://schemas.openxmlformats.org/officeDocument/2006/relationships/hyperlink" Target="#'Talent_Nodes'!A167" TargetMode="External" Id="rId6"/><Relationship Type="http://schemas.openxmlformats.org/officeDocument/2006/relationships/hyperlink" Target="#'Talent_Nodes'!A168" TargetMode="External" Id="rId7"/><Relationship Type="http://schemas.openxmlformats.org/officeDocument/2006/relationships/hyperlink" Target="#'Talent_Nodes'!A169" TargetMode="External" Id="rId8"/><Relationship Type="http://schemas.openxmlformats.org/officeDocument/2006/relationships/hyperlink" Target="#'Talent_Nodes'!A170" TargetMode="External" Id="rId9"/><Relationship Type="http://schemas.openxmlformats.org/officeDocument/2006/relationships/hyperlink" Target="#'Talent_Nodes'!A171" TargetMode="External" Id="rId10"/><Relationship Type="http://schemas.openxmlformats.org/officeDocument/2006/relationships/hyperlink" Target="#'Talent_Nodes'!A172" TargetMode="External" Id="rId11"/><Relationship Type="http://schemas.openxmlformats.org/officeDocument/2006/relationships/hyperlink" Target="#'Talent_Nodes'!A173" TargetMode="External" Id="rId12"/><Relationship Type="http://schemas.openxmlformats.org/officeDocument/2006/relationships/hyperlink" Target="#'Talent_Nodes'!A174" TargetMode="External" Id="rId13"/><Relationship Type="http://schemas.openxmlformats.org/officeDocument/2006/relationships/hyperlink" Target="#'Talent_Nodes'!A175" TargetMode="External" Id="rId14"/><Relationship Type="http://schemas.openxmlformats.org/officeDocument/2006/relationships/hyperlink" Target="#'Talent_Nodes'!A176" TargetMode="External" Id="rId15"/><Relationship Type="http://schemas.openxmlformats.org/officeDocument/2006/relationships/hyperlink" Target="#'Talent_Nodes'!A177" TargetMode="External" Id="rId16"/><Relationship Type="http://schemas.openxmlformats.org/officeDocument/2006/relationships/hyperlink" Target="#'Talent_Nodes'!A178" TargetMode="External" Id="rId17"/><Relationship Type="http://schemas.openxmlformats.org/officeDocument/2006/relationships/hyperlink" Target="#'Talent_Nodes'!A179" TargetMode="External" Id="rId18"/><Relationship Type="http://schemas.openxmlformats.org/officeDocument/2006/relationships/hyperlink" Target="#'Talent_Nodes'!A180" TargetMode="External" Id="rId19"/><Relationship Type="http://schemas.openxmlformats.org/officeDocument/2006/relationships/hyperlink" Target="#'Talent_Nodes'!A181" TargetMode="External" Id="rId20"/><Relationship Type="http://schemas.openxmlformats.org/officeDocument/2006/relationships/hyperlink" Target="#'Talent_Nodes'!A182" TargetMode="External" Id="rId21"/><Relationship Type="http://schemas.openxmlformats.org/officeDocument/2006/relationships/hyperlink" Target="#'Talent_Nodes'!A183" TargetMode="External" Id="rId22"/><Relationship Type="http://schemas.openxmlformats.org/officeDocument/2006/relationships/hyperlink" Target="#'Talent_Nodes'!A184" TargetMode="External" Id="rId23"/><Relationship Type="http://schemas.openxmlformats.org/officeDocument/2006/relationships/hyperlink" Target="#'Talent_Nodes'!A185" TargetMode="External" Id="rId24"/><Relationship Type="http://schemas.openxmlformats.org/officeDocument/2006/relationships/hyperlink" Target="#'Talent_Nodes'!A186" TargetMode="External" Id="rId25"/><Relationship Type="http://schemas.openxmlformats.org/officeDocument/2006/relationships/hyperlink" Target="#'Talent_Nodes'!A187" TargetMode="External" Id="rId26"/><Relationship Type="http://schemas.openxmlformats.org/officeDocument/2006/relationships/hyperlink" Target="#'Talent_Nodes'!A188" TargetMode="External" Id="rId27"/><Relationship Type="http://schemas.openxmlformats.org/officeDocument/2006/relationships/hyperlink" Target="#'Talent_Nodes'!A189" TargetMode="External" Id="rId28"/><Relationship Type="http://schemas.openxmlformats.org/officeDocument/2006/relationships/hyperlink" Target="#'Talent_Nodes'!A190" TargetMode="External" Id="rId29"/><Relationship Type="http://schemas.openxmlformats.org/officeDocument/2006/relationships/hyperlink" Target="#'Talent_Nodes'!A191" TargetMode="External" Id="rId30"/><Relationship Type="http://schemas.openxmlformats.org/officeDocument/2006/relationships/hyperlink" Target="#'Talent_Nodes'!A192" TargetMode="External" Id="rId31"/><Relationship Type="http://schemas.openxmlformats.org/officeDocument/2006/relationships/hyperlink" Target="#'Talent_Nodes'!A193" TargetMode="External" Id="rId32"/><Relationship Type="http://schemas.openxmlformats.org/officeDocument/2006/relationships/hyperlink" Target="#'Talent_Nodes'!A194" TargetMode="External" Id="rId33"/><Relationship Type="http://schemas.openxmlformats.org/officeDocument/2006/relationships/table" Target="/xl/tables/table8.xml" Id="rId34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0.xml" Id="rId2"/><Relationship Type="http://schemas.openxmlformats.org/officeDocument/2006/relationships/table" Target="/xl/tables/table11.xml" Id="rId3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DIG 天赋与自动矿业设计 V3</t>
        </is>
      </c>
    </row>
    <row r="2" ht="31" customHeight="1">
      <c r="A2" s="2" t="inlineStr">
        <is>
          <t>基于当前 Godot 项目实装核对，并参考 Cookie Clicker 的建筑价格、×2 里程碑、Grandma 横向协同与 Synergy 结构。</t>
        </is>
      </c>
    </row>
    <row r="4" ht="25" customHeight="1">
      <c r="A4" s="3" t="inlineStr">
        <is>
          <t>本版交付结论</t>
        </is>
      </c>
    </row>
    <row r="5" ht="34" customHeight="1">
      <c r="A5" s="4" t="inlineStr">
        <is>
          <t>现有内容全覆盖</t>
        </is>
      </c>
      <c r="B5" s="5" t="inlineStr">
        <is>
          <t>8 种矿、11 种地块均进入设计；未虚构 emerald、rock、volcano 等不存在 ID。</t>
        </is>
      </c>
    </row>
    <row r="6" ht="34" customHeight="1">
      <c r="A6" s="4" t="inlineStr">
        <is>
          <t>大树规模</t>
        </is>
      </c>
      <c r="B6" s="5" t="inlineStr">
        <is>
          <t>普通树共 190 个独立按钮；其中 8 个矿解锁、120 个矿产×2、11 个地块解锁、7 个黄金 Link、3 个黄金研究、8 个矿物协同、33 个地块协同。</t>
        </is>
      </c>
    </row>
    <row r="7" ht="34" customHeight="1">
      <c r="A7" s="4" t="inlineStr">
        <is>
          <t>自动建筑模型</t>
        </is>
      </c>
      <c r="B7" s="5" t="inlineStr">
        <is>
          <t>每种矿新增 owned_count + BaseCPS 的独立生产者层。网格里的 OreBlock 仍是主动玩法，不把同一产出再生成实体矿结算。</t>
        </is>
      </c>
    </row>
    <row r="8" ht="34" customHeight="1">
      <c r="A8" s="4" t="inlineStr">
        <is>
          <t>黄金矿定位</t>
        </is>
      </c>
      <c r="B8" s="5" t="inlineStr">
        <is>
          <t>黄金矿处于第 4 数值阶段，但承担 Grandma 式横向连接器；默认压缩为 7 条 Link 全收集时自身 ×4.5，避免原版 ×128 在短周期内爆炸。</t>
        </is>
      </c>
    </row>
    <row r="9" ht="34" customHeight="1">
      <c r="A9" s="4" t="inlineStr">
        <is>
          <t>地块协同</t>
        </is>
      </c>
      <c r="B9" s="5" t="inlineStr">
        <is>
          <t>明确加入“每 10 个草地提高金矿收益”，并为全部 11 种现有地块各做 I/II/III 三个独立按钮。</t>
        </is>
      </c>
    </row>
    <row r="10" ht="34" customHeight="1">
      <c r="A10" s="4" t="inlineStr">
        <is>
          <t>数值安全</t>
        </is>
      </c>
      <c r="B10" s="5" t="inlineStr">
        <is>
          <t>第 7 层以后已有部分价格越过 int64；第 11~15 层必须使用 BigNumber。表内同时保留显示值、尾数和指数。</t>
        </is>
      </c>
    </row>
    <row r="12" ht="25" customHeight="1">
      <c r="A12" s="6" t="inlineStr">
        <is>
          <t>推荐阅读顺序</t>
        </is>
      </c>
    </row>
    <row r="13">
      <c r="A13" s="7" t="inlineStr">
        <is>
          <t>Current_Project</t>
        </is>
      </c>
      <c r="B13" s="8" t="inlineStr">
        <is>
          <t>先确认项目目前真正实现了什么，以及哪些设计尚未接线。</t>
        </is>
      </c>
    </row>
    <row r="14">
      <c r="A14" s="7" t="inlineStr">
        <is>
          <t>Ore_Buildings</t>
        </is>
      </c>
      <c r="B14" s="8" t="inlineStr">
        <is>
          <t>调整 8 种自动建筑的基础价格/CPS，并实时看下一座、批量价和总 CPS。</t>
        </is>
      </c>
    </row>
    <row r="15">
      <c r="A15" s="7" t="inlineStr">
        <is>
          <t>Ore_Upgrade_Tree</t>
        </is>
      </c>
      <c r="B15" s="8" t="inlineStr">
        <is>
          <t>查看 8×15 的 120 个独立翻倍按钮总图。</t>
        </is>
      </c>
    </row>
    <row r="16">
      <c r="A16" s="7" t="inlineStr">
        <is>
          <t>Talent_Nodes</t>
        </is>
      </c>
      <c r="B16" s="8" t="inlineStr">
        <is>
          <t>实现用主表；每一行就是一个可购买按钮。</t>
        </is>
      </c>
    </row>
    <row r="17">
      <c r="A17" s="7" t="inlineStr">
        <is>
          <t>Gold_Synergies</t>
        </is>
      </c>
      <c r="B17" s="8" t="inlineStr">
        <is>
          <t>查看黄金矿作为 Grandma 角色的 7 条 Link 与 8 条矿物协同。</t>
        </is>
      </c>
    </row>
    <row r="18">
      <c r="A18" s="7" t="inlineStr">
        <is>
          <t>Terrain_Synergies</t>
        </is>
      </c>
      <c r="B18" s="8" t="inlineStr">
        <is>
          <t>查看 11 种地块与自动矿的联动。</t>
        </is>
      </c>
    </row>
    <row r="19">
      <c r="A19" s="7" t="inlineStr">
        <is>
          <t>Tile_Economy</t>
        </is>
      </c>
      <c r="B19" s="8" t="inlineStr">
        <is>
          <t>把当前免费无限地块改成库存与 1.15 递增购买。</t>
        </is>
      </c>
    </row>
    <row r="20">
      <c r="A20" s="7" t="inlineStr">
        <is>
          <t>Balance</t>
        </is>
      </c>
      <c r="B20" s="8" t="inlineStr">
        <is>
          <t>检查回本、价格曲线、BigNumber 边界和关键参数。</t>
        </is>
      </c>
    </row>
    <row r="21">
      <c r="A21" s="7" t="inlineStr">
        <is>
          <t>Implementation</t>
        </is>
      </c>
      <c r="B21" s="8" t="inlineStr">
        <is>
          <t>按阶段落地代码，避免双计、绕过解锁或存档丢失。</t>
        </is>
      </c>
    </row>
    <row r="23" ht="25" customHeight="1">
      <c r="A23" s="9" t="inlineStr">
        <is>
          <t>设计公式</t>
        </is>
      </c>
    </row>
    <row r="24">
      <c r="A24" s="4" t="inlineStr">
        <is>
          <t>下一座价格</t>
        </is>
      </c>
      <c r="B24" s="10" t="inlineStr">
        <is>
          <t>ceil(BasePrice × 1.15^Owned)</t>
        </is>
      </c>
    </row>
    <row r="25">
      <c r="A25" s="4" t="inlineStr">
        <is>
          <t>批量购买 n</t>
        </is>
      </c>
      <c r="B25" s="10" t="inlineStr">
        <is>
          <t>ceil(BasePrice × 1.15^Owned × (1.15^n−1) / 0.15)</t>
        </is>
      </c>
    </row>
    <row r="26">
      <c r="A26" s="4" t="inlineStr">
        <is>
          <t>单矿自动产出</t>
        </is>
      </c>
      <c r="B26" s="10" t="inlineStr">
        <is>
          <t>Owned × BaseCPS × 2^(已购买常规升级数) × Gold × PairSynergy × TerrainSynergy</t>
        </is>
      </c>
    </row>
    <row r="27">
      <c r="A27" s="4" t="inlineStr">
        <is>
          <t>总自动产出</t>
        </is>
      </c>
      <c r="B27" s="10" t="inlineStr">
        <is>
          <t>Σ单矿自动产出 × Prestige × Global × TemporaryBuff</t>
        </is>
      </c>
    </row>
    <row r="28">
      <c r="A28" s="4" t="inlineStr">
        <is>
          <t>地块组数</t>
        </is>
      </c>
      <c r="B28" s="10" t="inlineStr">
        <is>
          <t>min(floor(PlacedConnectedTiles / 10), 10)；库存不计入。</t>
        </is>
      </c>
    </row>
    <row r="29">
      <c r="A29" s="4" t="inlineStr">
        <is>
          <t>升华点建议</t>
        </is>
      </c>
      <c r="B29" s="10" t="inlineStr">
        <is>
          <t>Total = floor(10 × (LifetimeCoins / 1,000,000)^(1/3))；Gained = max(0, Total−PreviousTotal)。</t>
        </is>
      </c>
    </row>
    <row r="31" ht="25" customHeight="1">
      <c r="A31" s="11" t="inlineStr">
        <is>
          <t>关键约束</t>
        </is>
      </c>
    </row>
    <row r="32" ht="30" customHeight="1">
      <c r="A32" s="8" t="inlineStr">
        <is>
          <t>• 解锁矿物必须同时控制自动建筑商店与 DefDb.roll_ore 的实体矿池；当前全池开放会绕过天赋。</t>
        </is>
      </c>
    </row>
    <row r="33" ht="30" customHeight="1">
      <c r="A33" s="8" t="inlineStr">
        <is>
          <t>• 当前开局会强制生成 gold，必须移除或改为受 unlock_gold 控制。</t>
        </is>
      </c>
    </row>
    <row r="34" ht="30" customHeight="1">
      <c r="A34" s="8" t="inlineStr">
        <is>
          <t>• 当前 spawn 固定生成 crystal，必须先校验 unlock_crystal；V3 不单独锁实体矿等级，矿种解锁后其 Lv1~3 都允许，upgrade 可照常升至 Lv3。</t>
        </is>
      </c>
    </row>
    <row r="35" ht="30" customHeight="1">
      <c r="A35" s="8" t="inlineStr">
        <is>
          <t>• 当前地块免费无限放置；若不先加入购买/库存/递增价格，“每 10 块地”协同会成为免费无限倍率。</t>
        </is>
      </c>
    </row>
    <row r="36" ht="30" customHeight="1">
      <c r="A36" s="8" t="inlineStr">
        <is>
          <t>• 普通矿升级与场上实体矿 Lv1~3 是两套概念：前者是自动建筑永久 ×2，后者仍是单个方块价值/HP。</t>
        </is>
      </c>
    </row>
    <row r="38" ht="25" customHeight="1">
      <c r="A38" s="12" t="inlineStr">
        <is>
          <t>版本说明</t>
        </is>
      </c>
    </row>
    <row r="39">
      <c r="A39" s="13" t="inlineStr">
        <is>
          <t>V3 是设计目标，不代表代码已经具备这些系统。Current_Project 记录仓库现状；其余工作表记录建议实现。 原 talent_design.xlsx 与 talent_design_v2.xlsx 不会被覆盖。</t>
        </is>
      </c>
    </row>
    <row r="40"/>
    <row r="41"/>
  </sheetData>
  <mergeCells count="34">
    <mergeCell ref="B9:H9"/>
    <mergeCell ref="B6:H6"/>
    <mergeCell ref="B24:H24"/>
    <mergeCell ref="A36:H36"/>
    <mergeCell ref="B15:H15"/>
    <mergeCell ref="A1:H1"/>
    <mergeCell ref="B5:H5"/>
    <mergeCell ref="B20:H20"/>
    <mergeCell ref="A39:H41"/>
    <mergeCell ref="B26:H26"/>
    <mergeCell ref="B16:H16"/>
    <mergeCell ref="B7:H7"/>
    <mergeCell ref="B25:H25"/>
    <mergeCell ref="A12:H12"/>
    <mergeCell ref="B18:H18"/>
    <mergeCell ref="B27:H27"/>
    <mergeCell ref="B21:H21"/>
    <mergeCell ref="A2:H2"/>
    <mergeCell ref="A33:H33"/>
    <mergeCell ref="A23:H23"/>
    <mergeCell ref="A32:H32"/>
    <mergeCell ref="A4:H4"/>
    <mergeCell ref="B8:H8"/>
    <mergeCell ref="B14:H14"/>
    <mergeCell ref="B17:H17"/>
    <mergeCell ref="A35:H35"/>
    <mergeCell ref="B13:H13"/>
    <mergeCell ref="A38:H38"/>
    <mergeCell ref="B29:H29"/>
    <mergeCell ref="B10:H10"/>
    <mergeCell ref="B19:H19"/>
    <mergeCell ref="A31:H31"/>
    <mergeCell ref="B28:H28"/>
    <mergeCell ref="A34:H34"/>
  </mergeCells>
  <hyperlinks>
    <hyperlink xmlns:r="http://schemas.openxmlformats.org/officeDocument/2006/relationships" ref="A13" r:id="rId1"/>
    <hyperlink xmlns:r="http://schemas.openxmlformats.org/officeDocument/2006/relationships" ref="A14" r:id="rId2"/>
    <hyperlink xmlns:r="http://schemas.openxmlformats.org/officeDocument/2006/relationships" ref="A15" r:id="rId3"/>
    <hyperlink xmlns:r="http://schemas.openxmlformats.org/officeDocument/2006/relationships" ref="A16" r:id="rId4"/>
    <hyperlink xmlns:r="http://schemas.openxmlformats.org/officeDocument/2006/relationships" ref="A17" r:id="rId5"/>
    <hyperlink xmlns:r="http://schemas.openxmlformats.org/officeDocument/2006/relationships" ref="A18" r:id="rId6"/>
    <hyperlink xmlns:r="http://schemas.openxmlformats.org/officeDocument/2006/relationships" ref="A19" r:id="rId7"/>
    <hyperlink xmlns:r="http://schemas.openxmlformats.org/officeDocument/2006/relationships" ref="A20" r:id="rId8"/>
    <hyperlink xmlns:r="http://schemas.openxmlformats.org/officeDocument/2006/relationships" ref="A21" r:id="rId9"/>
  </hyperlink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3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8" customWidth="1" min="10" max="10"/>
    <col width="31" customWidth="1" min="11" max="11"/>
  </cols>
  <sheetData>
    <row r="1" ht="34" customHeight="1">
      <c r="A1" s="1" t="inlineStr">
        <is>
          <t>当前项目实装核对</t>
        </is>
      </c>
    </row>
    <row r="2" ht="31" customHeight="1">
      <c r="A2" s="2" t="inlineStr">
        <is>
          <t>以下是仓库实际行为，不是 V3 目标。所有设计 ID 必须以此为准。</t>
        </is>
      </c>
    </row>
    <row r="4" ht="25" customHeight="1">
      <c r="A4" s="3" t="inlineStr">
        <is>
          <t>现有 8 种矿物</t>
        </is>
      </c>
    </row>
    <row r="5" ht="34" customHeight="1">
      <c r="A5" s="14" t="inlineStr">
        <is>
          <t>ID</t>
        </is>
      </c>
      <c r="B5" s="14" t="inlineStr">
        <is>
          <t>名称</t>
        </is>
      </c>
      <c r="C5" s="14" t="inlineStr">
        <is>
          <t>Rarity</t>
        </is>
      </c>
      <c r="D5" s="14" t="inlineStr">
        <is>
          <t>Weight</t>
        </is>
      </c>
      <c r="E5" s="14" t="inlineStr">
        <is>
          <t>BaseValue</t>
        </is>
      </c>
      <c r="F5" s="14" t="inlineStr">
        <is>
          <t>BaseHP</t>
        </is>
      </c>
      <c r="G5" s="14" t="inlineStr">
        <is>
          <t>MaxLevel</t>
        </is>
      </c>
      <c r="H5" s="14" t="inlineStr">
        <is>
          <t>价值成长</t>
        </is>
      </c>
      <c r="I5" s="14" t="inlineStr">
        <is>
          <t>HP成长</t>
        </is>
      </c>
      <c r="J5" s="14" t="inlineStr">
        <is>
          <t>当前随机概率</t>
        </is>
      </c>
      <c r="K5" s="14" t="inlineStr">
        <is>
          <t>资源说明</t>
        </is>
      </c>
    </row>
    <row r="6">
      <c r="A6" s="15" t="inlineStr">
        <is>
          <t>coal</t>
        </is>
      </c>
      <c r="B6" s="15" t="inlineStr">
        <is>
          <t>煤矿</t>
        </is>
      </c>
      <c r="C6" s="15" t="n">
        <v>1</v>
      </c>
      <c r="D6" s="15" t="n">
        <v>50</v>
      </c>
      <c r="E6" s="15" t="n">
        <v>2</v>
      </c>
      <c r="F6" s="15" t="n">
        <v>10</v>
      </c>
      <c r="G6" s="15" t="n">
        <v>3</v>
      </c>
      <c r="H6" s="15" t="inlineStr">
        <is>
          <t>×2/级</t>
        </is>
      </c>
      <c r="I6" s="15" t="inlineStr">
        <is>
          <t>×1.5/级</t>
        </is>
      </c>
      <c r="J6" s="16" t="n">
        <v>0.2092050209205021</v>
      </c>
      <c r="K6" s="15" t="inlineStr">
        <is>
          <t>全部已被 DefDb 加载；当前没有解锁过滤。</t>
        </is>
      </c>
    </row>
    <row r="7">
      <c r="A7" s="15" t="inlineStr">
        <is>
          <t>iron</t>
        </is>
      </c>
      <c r="B7" s="15" t="inlineStr">
        <is>
          <t>铁矿</t>
        </is>
      </c>
      <c r="C7" s="15" t="n">
        <v>1</v>
      </c>
      <c r="D7" s="15" t="n">
        <v>100</v>
      </c>
      <c r="E7" s="15" t="n">
        <v>2</v>
      </c>
      <c r="F7" s="15" t="n">
        <v>10</v>
      </c>
      <c r="G7" s="15" t="n">
        <v>3</v>
      </c>
      <c r="H7" s="15" t="inlineStr">
        <is>
          <t>×2/级</t>
        </is>
      </c>
      <c r="I7" s="15" t="inlineStr">
        <is>
          <t>×1.5/级</t>
        </is>
      </c>
      <c r="J7" s="16" t="n">
        <v>0.4184100418410042</v>
      </c>
      <c r="K7" s="15" t="inlineStr">
        <is>
          <t>全部已被 DefDb 加载；当前没有解锁过滤。</t>
        </is>
      </c>
    </row>
    <row r="8">
      <c r="A8" s="15" t="inlineStr">
        <is>
          <t>zinc</t>
        </is>
      </c>
      <c r="B8" s="15" t="inlineStr">
        <is>
          <t>锌矿</t>
        </is>
      </c>
      <c r="C8" s="15" t="n">
        <v>1</v>
      </c>
      <c r="D8" s="15" t="n">
        <v>40</v>
      </c>
      <c r="E8" s="15" t="n">
        <v>3</v>
      </c>
      <c r="F8" s="15" t="n">
        <v>12</v>
      </c>
      <c r="G8" s="15" t="n">
        <v>3</v>
      </c>
      <c r="H8" s="15" t="inlineStr">
        <is>
          <t>×2/级</t>
        </is>
      </c>
      <c r="I8" s="15" t="inlineStr">
        <is>
          <t>×1.5/级</t>
        </is>
      </c>
      <c r="J8" s="16" t="n">
        <v>0.1673640167364017</v>
      </c>
      <c r="K8" s="15" t="inlineStr">
        <is>
          <t>全部已被 DefDb 加载；当前没有解锁过滤。</t>
        </is>
      </c>
    </row>
    <row r="9">
      <c r="A9" s="15" t="inlineStr">
        <is>
          <t>gold</t>
        </is>
      </c>
      <c r="B9" s="15" t="inlineStr">
        <is>
          <t>金矿</t>
        </is>
      </c>
      <c r="C9" s="15" t="n">
        <v>2</v>
      </c>
      <c r="D9" s="15" t="n">
        <v>25</v>
      </c>
      <c r="E9" s="15" t="n">
        <v>12</v>
      </c>
      <c r="F9" s="15" t="n">
        <v>40</v>
      </c>
      <c r="G9" s="15" t="n">
        <v>3</v>
      </c>
      <c r="H9" s="15" t="inlineStr">
        <is>
          <t>×2/级</t>
        </is>
      </c>
      <c r="I9" s="15" t="inlineStr">
        <is>
          <t>×1.5/级</t>
        </is>
      </c>
      <c r="J9" s="16" t="n">
        <v>0.104602510460251</v>
      </c>
      <c r="K9" s="15" t="inlineStr">
        <is>
          <t>全部已被 DefDb 加载；当前没有解锁过滤。</t>
        </is>
      </c>
    </row>
    <row r="10">
      <c r="A10" s="15" t="inlineStr">
        <is>
          <t>crystal</t>
        </is>
      </c>
      <c r="B10" s="15" t="inlineStr">
        <is>
          <t>水晶矿</t>
        </is>
      </c>
      <c r="C10" s="15" t="n">
        <v>3</v>
      </c>
      <c r="D10" s="15" t="n">
        <v>10</v>
      </c>
      <c r="E10" s="15" t="n">
        <v>25</v>
      </c>
      <c r="F10" s="15" t="n">
        <v>70</v>
      </c>
      <c r="G10" s="15" t="n">
        <v>3</v>
      </c>
      <c r="H10" s="15" t="inlineStr">
        <is>
          <t>×2/级</t>
        </is>
      </c>
      <c r="I10" s="15" t="inlineStr">
        <is>
          <t>×1.5/级</t>
        </is>
      </c>
      <c r="J10" s="16" t="n">
        <v>0.04184100418410042</v>
      </c>
      <c r="K10" s="15" t="inlineStr">
        <is>
          <t>全部已被 DefDb 加载；当前没有解锁过滤。</t>
        </is>
      </c>
    </row>
    <row r="11">
      <c r="A11" s="15" t="inlineStr">
        <is>
          <t>obsidian</t>
        </is>
      </c>
      <c r="B11" s="15" t="inlineStr">
        <is>
          <t>黑曜石</t>
        </is>
      </c>
      <c r="C11" s="15" t="n">
        <v>3</v>
      </c>
      <c r="D11" s="15" t="n">
        <v>8</v>
      </c>
      <c r="E11" s="15" t="n">
        <v>35</v>
      </c>
      <c r="F11" s="15" t="n">
        <v>100</v>
      </c>
      <c r="G11" s="15" t="n">
        <v>3</v>
      </c>
      <c r="H11" s="15" t="inlineStr">
        <is>
          <t>×2/级</t>
        </is>
      </c>
      <c r="I11" s="15" t="inlineStr">
        <is>
          <t>×1.5/级</t>
        </is>
      </c>
      <c r="J11" s="16" t="n">
        <v>0.03347280334728033</v>
      </c>
      <c r="K11" s="15" t="inlineStr">
        <is>
          <t>全部已被 DefDb 加载；当前没有解锁过滤。</t>
        </is>
      </c>
    </row>
    <row r="12">
      <c r="A12" s="15" t="inlineStr">
        <is>
          <t>diamond</t>
        </is>
      </c>
      <c r="B12" s="15" t="inlineStr">
        <is>
          <t>钻石矿</t>
        </is>
      </c>
      <c r="C12" s="15" t="n">
        <v>3</v>
      </c>
      <c r="D12" s="15" t="n">
        <v>5</v>
      </c>
      <c r="E12" s="15" t="n">
        <v>40</v>
      </c>
      <c r="F12" s="15" t="n">
        <v>120</v>
      </c>
      <c r="G12" s="15" t="n">
        <v>3</v>
      </c>
      <c r="H12" s="15" t="inlineStr">
        <is>
          <t>×2/级</t>
        </is>
      </c>
      <c r="I12" s="15" t="inlineStr">
        <is>
          <t>×1.5/级</t>
        </is>
      </c>
      <c r="J12" s="16" t="n">
        <v>0.02092050209205021</v>
      </c>
      <c r="K12" s="15" t="inlineStr">
        <is>
          <t>全部已被 DefDb 加载；当前没有解锁过滤。</t>
        </is>
      </c>
    </row>
    <row r="13">
      <c r="A13" s="15" t="inlineStr">
        <is>
          <t>cat</t>
        </is>
      </c>
      <c r="B13" s="15" t="inlineStr">
        <is>
          <t>猫矿</t>
        </is>
      </c>
      <c r="C13" s="15" t="n">
        <v>4</v>
      </c>
      <c r="D13" s="15" t="n">
        <v>1</v>
      </c>
      <c r="E13" s="15" t="n">
        <v>500</v>
      </c>
      <c r="F13" s="15" t="n">
        <v>300</v>
      </c>
      <c r="G13" s="15" t="n">
        <v>3</v>
      </c>
      <c r="H13" s="15" t="inlineStr">
        <is>
          <t>×2/级</t>
        </is>
      </c>
      <c r="I13" s="15" t="inlineStr">
        <is>
          <t>×1.5/级</t>
        </is>
      </c>
      <c r="J13" s="16" t="n">
        <v>0.004184100418410041</v>
      </c>
      <c r="K13" s="15" t="inlineStr">
        <is>
          <t>全部已被 DefDb 加载；当前没有解锁过滤。</t>
        </is>
      </c>
    </row>
    <row r="15" ht="25" customHeight="1">
      <c r="A15" s="6" t="inlineStr">
        <is>
          <t>现有 11 种地块</t>
        </is>
      </c>
    </row>
    <row r="16" ht="34" customHeight="1">
      <c r="A16" s="14" t="inlineStr">
        <is>
          <t>ID</t>
        </is>
      </c>
      <c r="B16" s="14" t="inlineStr">
        <is>
          <t>名称</t>
        </is>
      </c>
      <c r="C16" s="14" t="inlineStr">
        <is>
          <t>Behavior</t>
        </is>
      </c>
      <c r="D16" s="14" t="inlineStr">
        <is>
          <t>当前实际效果</t>
        </is>
      </c>
      <c r="E16" s="14" t="inlineStr">
        <is>
          <t>周期/参数</t>
        </is>
      </c>
      <c r="F16" s="14" t="inlineStr">
        <is>
          <t>V3 自动矿协同目标</t>
        </is>
      </c>
      <c r="G16" s="14" t="inlineStr">
        <is>
          <t>当前可用</t>
        </is>
      </c>
      <c r="H16" s="14" t="inlineStr">
        <is>
          <t>放置成本</t>
        </is>
      </c>
      <c r="I16" s="14" t="inlineStr">
        <is>
          <t>库存</t>
        </is>
      </c>
      <c r="J16" s="14" t="inlineStr">
        <is>
          <t>数量上限</t>
        </is>
      </c>
      <c r="K16" s="14" t="inlineStr">
        <is>
          <t>关键风险</t>
        </is>
      </c>
    </row>
    <row r="17">
      <c r="A17" s="15" t="inlineStr">
        <is>
          <t>dirt</t>
        </is>
      </c>
      <c r="B17" s="15" t="inlineStr">
        <is>
          <t>泥土</t>
        </is>
      </c>
      <c r="C17" s="15" t="inlineStr">
        <is>
          <t>NONE</t>
        </is>
      </c>
      <c r="D17" s="15" t="inlineStr">
        <is>
          <t>无效果</t>
        </is>
      </c>
      <c r="E17" s="15" t="inlineStr">
        <is>
          <t>无</t>
        </is>
      </c>
      <c r="F17" s="15" t="inlineStr">
        <is>
          <t>煤矿</t>
        </is>
      </c>
      <c r="G17" s="15" t="inlineStr">
        <is>
          <t>全部开局可用</t>
        </is>
      </c>
      <c r="H17" s="15" t="n">
        <v>0</v>
      </c>
      <c r="I17" s="15" t="inlineStr">
        <is>
          <t>无</t>
        </is>
      </c>
      <c r="J17" s="15" t="inlineStr">
        <is>
          <t>无</t>
        </is>
      </c>
      <c r="K17" s="15" t="inlineStr">
        <is>
          <t>免费无限放置会让协同无限增长。</t>
        </is>
      </c>
    </row>
    <row r="18">
      <c r="A18" s="15" t="inlineStr">
        <is>
          <t>grass</t>
        </is>
      </c>
      <c r="B18" s="15" t="inlineStr">
        <is>
          <t>草地</t>
        </is>
      </c>
      <c r="C18" s="15" t="inlineStr">
        <is>
          <t>GRASS</t>
        </is>
      </c>
      <c r="D18" s="15" t="inlineStr">
        <is>
          <t>手挖伤害×1.5；开局9块</t>
        </is>
      </c>
      <c r="E18" s="15" t="inlineStr">
        <is>
          <t>手挖伤害×1.5</t>
        </is>
      </c>
      <c r="F18" s="15" t="inlineStr">
        <is>
          <t>金矿</t>
        </is>
      </c>
      <c r="G18" s="15" t="inlineStr">
        <is>
          <t>全部开局可用</t>
        </is>
      </c>
      <c r="H18" s="15" t="n">
        <v>0</v>
      </c>
      <c r="I18" s="15" t="inlineStr">
        <is>
          <t>无</t>
        </is>
      </c>
      <c r="J18" s="15" t="inlineStr">
        <is>
          <t>无</t>
        </is>
      </c>
      <c r="K18" s="15" t="inlineStr">
        <is>
          <t>开局9块草地；扩建仍免费。</t>
        </is>
      </c>
    </row>
    <row r="19">
      <c r="A19" s="15" t="inlineStr">
        <is>
          <t>stone</t>
        </is>
      </c>
      <c r="B19" s="15" t="inlineStr">
        <is>
          <t>石头</t>
        </is>
      </c>
      <c r="C19" s="15" t="inlineStr">
        <is>
          <t>STONE</t>
        </is>
      </c>
      <c r="D19" s="15" t="inlineStr">
        <is>
          <t>同格矿物结算×1.5</t>
        </is>
      </c>
      <c r="E19" s="15" t="inlineStr">
        <is>
          <t>结算价值×1.5</t>
        </is>
      </c>
      <c r="F19" s="15" t="inlineStr">
        <is>
          <t>铁矿</t>
        </is>
      </c>
      <c r="G19" s="15" t="inlineStr">
        <is>
          <t>全部开局可用</t>
        </is>
      </c>
      <c r="H19" s="15" t="n">
        <v>0</v>
      </c>
      <c r="I19" s="15" t="inlineStr">
        <is>
          <t>无</t>
        </is>
      </c>
      <c r="J19" s="15" t="inlineStr">
        <is>
          <t>无</t>
        </is>
      </c>
      <c r="K19" s="15" t="inlineStr">
        <is>
          <t>免费无限放置会让协同无限增长。</t>
        </is>
      </c>
    </row>
    <row r="20">
      <c r="A20" s="15" t="inlineStr">
        <is>
          <t>water</t>
        </is>
      </c>
      <c r="B20" s="15" t="inlineStr">
        <is>
          <t>水域</t>
        </is>
      </c>
      <c r="C20" s="15" t="inlineStr">
        <is>
          <t>WATER</t>
        </is>
      </c>
      <c r="D20" s="15" t="inlineStr">
        <is>
          <t>落矿沉没，返还10%</t>
        </is>
      </c>
      <c r="E20" s="15" t="inlineStr">
        <is>
          <t>落矿即10%结算</t>
        </is>
      </c>
      <c r="F20" s="15" t="inlineStr">
        <is>
          <t>锌矿</t>
        </is>
      </c>
      <c r="G20" s="15" t="inlineStr">
        <is>
          <t>全部开局可用</t>
        </is>
      </c>
      <c r="H20" s="15" t="n">
        <v>0</v>
      </c>
      <c r="I20" s="15" t="inlineStr">
        <is>
          <t>无</t>
        </is>
      </c>
      <c r="J20" s="15" t="inlineStr">
        <is>
          <t>无</t>
        </is>
      </c>
      <c r="K20" s="15" t="inlineStr">
        <is>
          <t>免费无限放置会让协同无限增长。</t>
        </is>
      </c>
    </row>
    <row r="21">
      <c r="A21" s="15" t="inlineStr">
        <is>
          <t>fire</t>
        </is>
      </c>
      <c r="B21" s="15" t="inlineStr">
        <is>
          <t>熔岩</t>
        </is>
      </c>
      <c r="C21" s="15" t="inlineStr">
        <is>
          <t>FIRE</t>
        </is>
      </c>
      <c r="D21" s="15" t="inlineStr">
        <is>
          <t>每1秒同格10伤害</t>
        </is>
      </c>
      <c r="E21" s="15" t="inlineStr">
        <is>
          <t>10伤/1秒/同格</t>
        </is>
      </c>
      <c r="F21" s="15" t="inlineStr">
        <is>
          <t>煤矿、铁矿、锌矿、金矿、水晶矿、黑曜石、钻石矿、猫矿</t>
        </is>
      </c>
      <c r="G21" s="15" t="inlineStr">
        <is>
          <t>全部开局可用</t>
        </is>
      </c>
      <c r="H21" s="15" t="n">
        <v>0</v>
      </c>
      <c r="I21" s="15" t="inlineStr">
        <is>
          <t>无</t>
        </is>
      </c>
      <c r="J21" s="15" t="inlineStr">
        <is>
          <t>无</t>
        </is>
      </c>
      <c r="K21" s="15" t="inlineStr">
        <is>
          <t>免费无限放置会让协同无限增长。</t>
        </is>
      </c>
    </row>
    <row r="22">
      <c r="A22" s="15" t="inlineStr">
        <is>
          <t>push</t>
        </is>
      </c>
      <c r="B22" s="15" t="inlineStr">
        <is>
          <t>传送带</t>
        </is>
      </c>
      <c r="C22" s="15" t="inlineStr">
        <is>
          <t>PUSH</t>
        </is>
      </c>
      <c r="D22" s="15" t="inlineStr">
        <is>
          <t>每2秒随机推矿</t>
        </is>
      </c>
      <c r="E22" s="15" t="inlineStr">
        <is>
          <t>2秒/正交随机推</t>
        </is>
      </c>
      <c r="F22" s="15" t="inlineStr">
        <is>
          <t>煤矿、铁矿、锌矿、金矿</t>
        </is>
      </c>
      <c r="G22" s="15" t="inlineStr">
        <is>
          <t>全部开局可用</t>
        </is>
      </c>
      <c r="H22" s="15" t="n">
        <v>0</v>
      </c>
      <c r="I22" s="15" t="inlineStr">
        <is>
          <t>无</t>
        </is>
      </c>
      <c r="J22" s="15" t="inlineStr">
        <is>
          <t>无</t>
        </is>
      </c>
      <c r="K22" s="15" t="inlineStr">
        <is>
          <t>免费无限放置会让协同无限增长。</t>
        </is>
      </c>
    </row>
    <row r="23">
      <c r="A23" s="15" t="inlineStr">
        <is>
          <t>pull</t>
        </is>
      </c>
      <c r="B23" s="15" t="inlineStr">
        <is>
          <t>磁吸</t>
        </is>
      </c>
      <c r="C23" s="15" t="inlineStr">
        <is>
          <t>PULL</t>
        </is>
      </c>
      <c r="D23" s="15" t="inlineStr">
        <is>
          <t>每2秒吸邻格矿</t>
        </is>
      </c>
      <c r="E23" s="15" t="inlineStr">
        <is>
          <t>2秒/吸正交邻矿</t>
        </is>
      </c>
      <c r="F23" s="15" t="inlineStr">
        <is>
          <t>水晶矿、黑曜石、钻石矿、猫矿</t>
        </is>
      </c>
      <c r="G23" s="15" t="inlineStr">
        <is>
          <t>全部开局可用</t>
        </is>
      </c>
      <c r="H23" s="15" t="n">
        <v>0</v>
      </c>
      <c r="I23" s="15" t="inlineStr">
        <is>
          <t>无</t>
        </is>
      </c>
      <c r="J23" s="15" t="inlineStr">
        <is>
          <t>无</t>
        </is>
      </c>
      <c r="K23" s="15" t="inlineStr">
        <is>
          <t>免费无限放置会让协同无限增长。</t>
        </is>
      </c>
    </row>
    <row r="24">
      <c r="A24" s="15" t="inlineStr">
        <is>
          <t>volcano_stable</t>
        </is>
      </c>
      <c r="B24" s="15" t="inlineStr">
        <is>
          <t>稳定火山</t>
        </is>
      </c>
      <c r="C24" s="15" t="inlineStr">
        <is>
          <t>VOLCANO</t>
        </is>
      </c>
      <c r="D24" s="15" t="inlineStr">
        <is>
          <t>每2秒对四邻30伤害</t>
        </is>
      </c>
      <c r="E24" s="15" t="inlineStr">
        <is>
          <t>30伤/2秒/四邻格</t>
        </is>
      </c>
      <c r="F24" s="15" t="inlineStr">
        <is>
          <t>黑曜石</t>
        </is>
      </c>
      <c r="G24" s="15" t="inlineStr">
        <is>
          <t>全部开局可用</t>
        </is>
      </c>
      <c r="H24" s="15" t="n">
        <v>0</v>
      </c>
      <c r="I24" s="15" t="inlineStr">
        <is>
          <t>无</t>
        </is>
      </c>
      <c r="J24" s="15" t="inlineStr">
        <is>
          <t>无</t>
        </is>
      </c>
      <c r="K24" s="15" t="inlineStr">
        <is>
          <t>免费无限放置会让协同无限增长。</t>
        </is>
      </c>
    </row>
    <row r="25">
      <c r="A25" s="15" t="inlineStr">
        <is>
          <t>upgrade</t>
        </is>
      </c>
      <c r="B25" s="15" t="inlineStr">
        <is>
          <t>升级台</t>
        </is>
      </c>
      <c r="C25" s="15" t="inlineStr">
        <is>
          <t>UPGRADE</t>
        </is>
      </c>
      <c r="D25" s="15" t="inlineStr">
        <is>
          <t>每3秒令同格实体矿+1级</t>
        </is>
      </c>
      <c r="E25" s="15" t="inlineStr">
        <is>
          <t>+1级/3秒/最高Lv3</t>
        </is>
      </c>
      <c r="F25" s="15" t="inlineStr">
        <is>
          <t>猫矿</t>
        </is>
      </c>
      <c r="G25" s="15" t="inlineStr">
        <is>
          <t>全部开局可用</t>
        </is>
      </c>
      <c r="H25" s="15" t="n">
        <v>0</v>
      </c>
      <c r="I25" s="15" t="inlineStr">
        <is>
          <t>无</t>
        </is>
      </c>
      <c r="J25" s="15" t="inlineStr">
        <is>
          <t>无</t>
        </is>
      </c>
      <c r="K25" s="15" t="inlineStr">
        <is>
          <t>免费无限放置会让协同无限增长。</t>
        </is>
      </c>
    </row>
    <row r="26">
      <c r="A26" s="15" t="inlineStr">
        <is>
          <t>rarity</t>
        </is>
      </c>
      <c r="B26" s="15" t="inlineStr">
        <is>
          <t>稀有矿脉</t>
        </is>
      </c>
      <c r="C26" s="15" t="inlineStr">
        <is>
          <t>RARITY</t>
        </is>
      </c>
      <c r="D26" s="15" t="inlineStr">
        <is>
          <t>当前硬过滤rarity≥3</t>
        </is>
      </c>
      <c r="E26" s="15" t="inlineStr">
        <is>
          <t>min_rarity=3硬过滤</t>
        </is>
      </c>
      <c r="F26" s="15" t="inlineStr">
        <is>
          <t>钻石矿</t>
        </is>
      </c>
      <c r="G26" s="15" t="inlineStr">
        <is>
          <t>全部开局可用</t>
        </is>
      </c>
      <c r="H26" s="15" t="n">
        <v>0</v>
      </c>
      <c r="I26" s="15" t="inlineStr">
        <is>
          <t>无</t>
        </is>
      </c>
      <c r="J26" s="15" t="inlineStr">
        <is>
          <t>无</t>
        </is>
      </c>
      <c r="K26" s="15" t="inlineStr">
        <is>
          <t>免费无限放置会让协同无限增长。</t>
        </is>
      </c>
    </row>
    <row r="27">
      <c r="A27" s="15" t="inlineStr">
        <is>
          <t>spawn</t>
        </is>
      </c>
      <c r="B27" s="15" t="inlineStr">
        <is>
          <t>水晶矿脉</t>
        </is>
      </c>
      <c r="C27" s="15" t="inlineStr">
        <is>
          <t>SPAWN</t>
        </is>
      </c>
      <c r="D27" s="15" t="inlineStr">
        <is>
          <t>每5秒固定生成crystal实体矿</t>
        </is>
      </c>
      <c r="E27" s="15" t="inlineStr">
        <is>
          <t>crystal/5秒/同格为空</t>
        </is>
      </c>
      <c r="F27" s="15" t="inlineStr">
        <is>
          <t>水晶矿</t>
        </is>
      </c>
      <c r="G27" s="15" t="inlineStr">
        <is>
          <t>全部开局可用</t>
        </is>
      </c>
      <c r="H27" s="15" t="n">
        <v>0</v>
      </c>
      <c r="I27" s="15" t="inlineStr">
        <is>
          <t>无</t>
        </is>
      </c>
      <c r="J27" s="15" t="inlineStr">
        <is>
          <t>无</t>
        </is>
      </c>
      <c r="K27" s="15" t="inlineStr">
        <is>
          <t>免费无限放置会让协同无限增长。</t>
        </is>
      </c>
    </row>
    <row r="29" ht="25" customHeight="1">
      <c r="A29" s="11" t="inlineStr">
        <is>
          <t>当前经济与生成链路</t>
        </is>
      </c>
    </row>
    <row r="30" ht="34" customHeight="1">
      <c r="A30" s="14" t="inlineStr">
        <is>
          <t>项目</t>
        </is>
      </c>
      <c r="B30" s="14" t="inlineStr">
        <is>
          <t>当前行为</t>
        </is>
      </c>
      <c r="C30" s="14" t="inlineStr">
        <is>
          <t>代码位置</t>
        </is>
      </c>
    </row>
    <row r="31" ht="34" customHeight="1">
      <c r="A31" s="15" t="inlineStr">
        <is>
          <t>初始网格</t>
        </is>
      </c>
      <c r="B31" s="15" t="inlineStr">
        <is>
          <t>3×3，共9块 grass；没有地图边界，可无限正交扩建。</t>
        </is>
      </c>
      <c r="C31" s="15" t="inlineStr">
        <is>
          <t>scripts/game/game_manager.gd / grid_init</t>
        </is>
      </c>
    </row>
    <row r="32" ht="34" customHeight="1">
      <c r="A32" s="15" t="inlineStr">
        <is>
          <t>实体矿生成</t>
        </is>
      </c>
      <c r="B32" s="15" t="inlineStr">
        <is>
          <t>开局强制 gold + 2个全池随机；之后每2秒尝试补1个 Lv1 实体矿。</t>
        </is>
      </c>
      <c r="C32" s="15" t="inlineStr">
        <is>
          <t>scripts/game/game_manager.gd</t>
        </is>
      </c>
    </row>
    <row r="33" ht="34" customHeight="1">
      <c r="A33" s="15" t="inlineStr">
        <is>
          <t>矿池</t>
        </is>
      </c>
      <c r="B33" s="15" t="inlineStr">
        <is>
          <t>8种矿全部从第一秒进入随机池；没有 progression/unlocked_ore_ids。</t>
        </is>
      </c>
      <c r="C33" s="15" t="inlineStr">
        <is>
          <t>scripts/game/def_db.gd</t>
        </is>
      </c>
    </row>
    <row r="34" ht="34" customHeight="1">
      <c r="A34" s="15" t="inlineStr">
        <is>
          <t>最大实体矿</t>
        </is>
      </c>
      <c r="B34" s="15" t="inlineStr">
        <is>
          <t>max_ores=0 时等于当前格子数；扩一格同时提高容量1。</t>
        </is>
      </c>
      <c r="C34" s="15" t="inlineStr">
        <is>
          <t>scripts/game/game_manager.gd</t>
        </is>
      </c>
    </row>
    <row r="35" ht="34" customHeight="1">
      <c r="A35" s="15" t="inlineStr">
        <is>
          <t>结算</t>
        </is>
      </c>
      <c r="B35" s="15" t="inlineStr">
        <is>
          <t>击破价值先乘地块 value_multiplier，再乘 reward_ratio；water 为10%。</t>
        </is>
      </c>
      <c r="C35" s="15" t="inlineStr">
        <is>
          <t>scripts/game/grid_model.gd</t>
        </is>
      </c>
    </row>
    <row r="36" ht="34" customHeight="1">
      <c r="A36" s="15" t="inlineStr">
        <is>
          <t>金币</t>
        </is>
      </c>
      <c r="B36" s="15" t="inlineStr">
        <is>
          <t>GameManager scene-local int64；没有统一钱包、存档或离线收益。</t>
        </is>
      </c>
      <c r="C36" s="15" t="inlineStr">
        <is>
          <t>scripts/game/game_manager.gd</t>
        </is>
      </c>
    </row>
    <row r="37" ht="34" customHeight="1">
      <c r="A37" s="15" t="inlineStr">
        <is>
          <t>天赋</t>
        </is>
      </c>
      <c r="B37" s="15" t="inlineStr">
        <is>
          <t>talent_grid.gd 是独立演示钱包，只扣本地 gold，购买不影响主游戏。</t>
        </is>
      </c>
      <c r="C37" s="15" t="inlineStr">
        <is>
          <t>scripts/talent/talent_grid.gd</t>
        </is>
      </c>
    </row>
    <row r="38" ht="34" customHeight="1">
      <c r="A38" s="15" t="inlineStr">
        <is>
          <t>自动建筑</t>
        </is>
      </c>
      <c r="B38" s="15" t="inlineStr">
        <is>
          <t>不存在 owned_count、BaseCPS、建筑价格、批量购买或持续 CPS。当前‘自动’只生成实体矿。</t>
        </is>
      </c>
      <c r="C38" s="15" t="inlineStr">
        <is>
          <t>全项目核对</t>
        </is>
      </c>
    </row>
  </sheetData>
  <mergeCells count="5">
    <mergeCell ref="A4:K4"/>
    <mergeCell ref="A15:K15"/>
    <mergeCell ref="A29:K29"/>
    <mergeCell ref="A2:K2"/>
    <mergeCell ref="A1:K1"/>
  </mergeCells>
  <pageMargins left="0.75" right="0.75" top="1" bottom="1" header="0.5" footer="0.5"/>
  <pageSetup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7" customWidth="1" min="4" max="4"/>
    <col width="19" customWidth="1" min="5" max="5"/>
    <col width="21" customWidth="1" min="6" max="6"/>
    <col width="20" customWidth="1" min="7" max="7"/>
    <col width="18" customWidth="1" min="8" max="8"/>
    <col width="27" customWidth="1" min="9" max="9"/>
  </cols>
  <sheetData>
    <row r="1" ht="34" customHeight="1">
      <c r="A1" s="1" t="inlineStr">
        <is>
          <t>Cookie Clicker 数值参照</t>
        </is>
      </c>
    </row>
    <row r="2" ht="31" customHeight="1">
      <c r="A2" s="2" t="inlineStr">
        <is>
          <t>只迁移结构与比例，不照抄其极后期数值规模。来源链接位于本页底部。</t>
        </is>
      </c>
    </row>
    <row r="4" ht="25" customHeight="1">
      <c r="A4" s="9" t="inlineStr">
        <is>
          <t>前 8 个建筑的当前基础曲线</t>
        </is>
      </c>
    </row>
    <row r="5" ht="34" customHeight="1">
      <c r="A5" s="14" t="inlineStr">
        <is>
          <t>槽位</t>
        </is>
      </c>
      <c r="B5" s="14" t="inlineStr">
        <is>
          <t>建筑</t>
        </is>
      </c>
      <c r="C5" s="14" t="inlineStr">
        <is>
          <t>BasePrice</t>
        </is>
      </c>
      <c r="D5" s="14" t="inlineStr">
        <is>
          <t>BaseCPS</t>
        </is>
      </c>
      <c r="E5" s="14" t="inlineStr">
        <is>
          <t>首座静态回本秒</t>
        </is>
      </c>
      <c r="F5" s="14" t="inlineStr">
        <is>
          <t>相对Cursor价格</t>
        </is>
      </c>
      <c r="G5" s="14" t="inlineStr">
        <is>
          <t>相对Cursor CPS</t>
        </is>
      </c>
      <c r="H5" s="14" t="inlineStr">
        <is>
          <t>V3映射矿</t>
        </is>
      </c>
      <c r="I5" s="14" t="inlineStr">
        <is>
          <t>V3缩放</t>
        </is>
      </c>
    </row>
    <row r="6">
      <c r="A6" s="17" t="n">
        <v>1</v>
      </c>
      <c r="B6" s="17" t="inlineStr">
        <is>
          <t>Cursor</t>
        </is>
      </c>
      <c r="C6" s="17" t="n">
        <v>15</v>
      </c>
      <c r="D6" s="17" t="n">
        <v>0.1</v>
      </c>
      <c r="E6" s="18" t="n">
        <v>150</v>
      </c>
      <c r="F6" s="17" t="n">
        <v>1</v>
      </c>
      <c r="G6" s="17" t="n">
        <v>1</v>
      </c>
      <c r="H6" s="17" t="inlineStr">
        <is>
          <t>煤矿</t>
        </is>
      </c>
      <c r="I6" s="17" t="inlineStr">
        <is>
          <t>BasePrice/CPS 均×5</t>
        </is>
      </c>
    </row>
    <row r="7">
      <c r="A7" s="17" t="n">
        <v>2</v>
      </c>
      <c r="B7" s="17" t="inlineStr">
        <is>
          <t>Grandma</t>
        </is>
      </c>
      <c r="C7" s="17" t="n">
        <v>100</v>
      </c>
      <c r="D7" s="17" t="n">
        <v>1</v>
      </c>
      <c r="E7" s="18" t="n">
        <v>100</v>
      </c>
      <c r="F7" s="17" t="n">
        <v>6.666666666666667</v>
      </c>
      <c r="G7" s="17" t="n">
        <v>10</v>
      </c>
      <c r="H7" s="17" t="inlineStr">
        <is>
          <t>铁矿</t>
        </is>
      </c>
      <c r="I7" s="17" t="inlineStr">
        <is>
          <t>BasePrice/CPS 均×5</t>
        </is>
      </c>
    </row>
    <row r="8">
      <c r="A8" s="17" t="n">
        <v>3</v>
      </c>
      <c r="B8" s="17" t="inlineStr">
        <is>
          <t>Farm</t>
        </is>
      </c>
      <c r="C8" s="17" t="n">
        <v>1100</v>
      </c>
      <c r="D8" s="17" t="n">
        <v>8</v>
      </c>
      <c r="E8" s="18" t="n">
        <v>137.5</v>
      </c>
      <c r="F8" s="17" t="n">
        <v>73.33333333333333</v>
      </c>
      <c r="G8" s="17" t="n">
        <v>80</v>
      </c>
      <c r="H8" s="17" t="inlineStr">
        <is>
          <t>锌矿</t>
        </is>
      </c>
      <c r="I8" s="17" t="inlineStr">
        <is>
          <t>BasePrice/CPS 均×5</t>
        </is>
      </c>
    </row>
    <row r="9">
      <c r="A9" s="17" t="n">
        <v>4</v>
      </c>
      <c r="B9" s="17" t="inlineStr">
        <is>
          <t>Mine</t>
        </is>
      </c>
      <c r="C9" s="17" t="n">
        <v>12000</v>
      </c>
      <c r="D9" s="17" t="n">
        <v>47</v>
      </c>
      <c r="E9" s="18" t="n">
        <v>255.3191489361702</v>
      </c>
      <c r="F9" s="17" t="n">
        <v>800</v>
      </c>
      <c r="G9" s="17" t="n">
        <v>470</v>
      </c>
      <c r="H9" s="17" t="inlineStr">
        <is>
          <t>金矿</t>
        </is>
      </c>
      <c r="I9" s="17" t="inlineStr">
        <is>
          <t>BasePrice/CPS 均×5</t>
        </is>
      </c>
    </row>
    <row r="10">
      <c r="A10" s="17" t="n">
        <v>5</v>
      </c>
      <c r="B10" s="17" t="inlineStr">
        <is>
          <t>Factory</t>
        </is>
      </c>
      <c r="C10" s="17" t="n">
        <v>130000</v>
      </c>
      <c r="D10" s="17" t="n">
        <v>260</v>
      </c>
      <c r="E10" s="18" t="n">
        <v>500</v>
      </c>
      <c r="F10" s="17" t="n">
        <v>8666.666666666666</v>
      </c>
      <c r="G10" s="17" t="n">
        <v>2600</v>
      </c>
      <c r="H10" s="17" t="inlineStr">
        <is>
          <t>水晶矿</t>
        </is>
      </c>
      <c r="I10" s="17" t="inlineStr">
        <is>
          <t>BasePrice/CPS 均×5</t>
        </is>
      </c>
    </row>
    <row r="11">
      <c r="A11" s="17" t="n">
        <v>6</v>
      </c>
      <c r="B11" s="17" t="inlineStr">
        <is>
          <t>Bank</t>
        </is>
      </c>
      <c r="C11" s="17" t="n">
        <v>1400000</v>
      </c>
      <c r="D11" s="17" t="n">
        <v>1400</v>
      </c>
      <c r="E11" s="18" t="n">
        <v>1000</v>
      </c>
      <c r="F11" s="17" t="n">
        <v>93333.33333333333</v>
      </c>
      <c r="G11" s="17" t="n">
        <v>14000</v>
      </c>
      <c r="H11" s="17" t="inlineStr">
        <is>
          <t>黑曜石</t>
        </is>
      </c>
      <c r="I11" s="17" t="inlineStr">
        <is>
          <t>BasePrice/CPS 均×5</t>
        </is>
      </c>
    </row>
    <row r="12">
      <c r="A12" s="17" t="n">
        <v>7</v>
      </c>
      <c r="B12" s="17" t="inlineStr">
        <is>
          <t>Temple</t>
        </is>
      </c>
      <c r="C12" s="17" t="n">
        <v>20000000</v>
      </c>
      <c r="D12" s="17" t="n">
        <v>7800</v>
      </c>
      <c r="E12" s="18" t="n">
        <v>2564.102564102564</v>
      </c>
      <c r="F12" s="17" t="n">
        <v>1333333.333333333</v>
      </c>
      <c r="G12" s="17" t="n">
        <v>78000</v>
      </c>
      <c r="H12" s="17" t="inlineStr">
        <is>
          <t>钻石矿</t>
        </is>
      </c>
      <c r="I12" s="17" t="inlineStr">
        <is>
          <t>BasePrice/CPS 均×5</t>
        </is>
      </c>
    </row>
    <row r="13">
      <c r="A13" s="17" t="n">
        <v>8</v>
      </c>
      <c r="B13" s="17" t="inlineStr">
        <is>
          <t>Wizard tower</t>
        </is>
      </c>
      <c r="C13" s="17" t="n">
        <v>330000000</v>
      </c>
      <c r="D13" s="17" t="n">
        <v>44000</v>
      </c>
      <c r="E13" s="18" t="n">
        <v>7500</v>
      </c>
      <c r="F13" s="17" t="n">
        <v>22000000</v>
      </c>
      <c r="G13" s="17" t="n">
        <v>440000</v>
      </c>
      <c r="H13" s="17" t="inlineStr">
        <is>
          <t>猫矿</t>
        </is>
      </c>
      <c r="I13" s="17" t="inlineStr">
        <is>
          <t>BasePrice/CPS 均×5</t>
        </is>
      </c>
    </row>
    <row r="15" ht="25" customHeight="1">
      <c r="A15" s="3" t="inlineStr">
        <is>
          <t>15 层常规 ×2 升级</t>
        </is>
      </c>
    </row>
    <row r="16" ht="34" customHeight="1">
      <c r="A16" s="14" t="inlineStr">
        <is>
          <t>Tier</t>
        </is>
      </c>
      <c r="B16" s="14" t="inlineStr">
        <is>
          <t>持有数解锁</t>
        </is>
      </c>
      <c r="C16" s="14" t="inlineStr">
        <is>
          <t>价格系数×BasePrice</t>
        </is>
      </c>
      <c r="D16" s="14" t="inlineStr">
        <is>
          <t>累计本建筑倍率</t>
        </is>
      </c>
      <c r="E16" s="14" t="inlineStr">
        <is>
          <t>V3阶段</t>
        </is>
      </c>
      <c r="F16" s="14" t="inlineStr">
        <is>
          <t>Advanced前置</t>
        </is>
      </c>
      <c r="G16" s="14" t="inlineStr">
        <is>
          <t>按钮语义</t>
        </is>
      </c>
      <c r="H16" s="14" t="inlineStr">
        <is>
          <t>数值安全</t>
        </is>
      </c>
      <c r="I16" s="14" t="inlineStr">
        <is>
          <t>备注</t>
        </is>
      </c>
    </row>
    <row r="17">
      <c r="A17" s="15" t="n">
        <v>1</v>
      </c>
      <c r="B17" s="15" t="n">
        <v>1</v>
      </c>
      <c r="C17" s="19" t="n">
        <v>10</v>
      </c>
      <c r="D17" s="20" t="n">
        <v>2</v>
      </c>
      <c r="E17" s="15" t="inlineStr">
        <is>
          <t>本轮核心</t>
        </is>
      </c>
      <c r="F17" s="15" t="inlineStr"/>
      <c r="G17" s="15" t="inlineStr">
        <is>
          <t>基础工具</t>
        </is>
      </c>
      <c r="H17" s="15" t="inlineStr">
        <is>
          <t>逐矿检查</t>
        </is>
      </c>
      <c r="I17" s="15" t="inlineStr">
        <is>
          <t>每层独立 max_rank=1</t>
        </is>
      </c>
    </row>
    <row r="18">
      <c r="A18" s="15" t="n">
        <v>2</v>
      </c>
      <c r="B18" s="15" t="n">
        <v>5</v>
      </c>
      <c r="C18" s="19" t="n">
        <v>50</v>
      </c>
      <c r="D18" s="20" t="n">
        <v>4</v>
      </c>
      <c r="E18" s="15" t="inlineStr">
        <is>
          <t>本轮核心</t>
        </is>
      </c>
      <c r="F18" s="15" t="inlineStr"/>
      <c r="G18" s="15" t="inlineStr">
        <is>
          <t>标准流程</t>
        </is>
      </c>
      <c r="H18" s="15" t="inlineStr">
        <is>
          <t>逐矿检查</t>
        </is>
      </c>
      <c r="I18" s="15" t="inlineStr">
        <is>
          <t>每层独立 max_rank=1</t>
        </is>
      </c>
    </row>
    <row r="19">
      <c r="A19" s="15" t="n">
        <v>3</v>
      </c>
      <c r="B19" s="15" t="n">
        <v>25</v>
      </c>
      <c r="C19" s="19" t="n">
        <v>500</v>
      </c>
      <c r="D19" s="20" t="n">
        <v>8</v>
      </c>
      <c r="E19" s="15" t="inlineStr">
        <is>
          <t>本轮核心</t>
        </is>
      </c>
      <c r="F19" s="15" t="inlineStr"/>
      <c r="G19" s="15" t="inlineStr">
        <is>
          <t>机械化</t>
        </is>
      </c>
      <c r="H19" s="15" t="inlineStr">
        <is>
          <t>逐矿检查</t>
        </is>
      </c>
      <c r="I19" s="15" t="inlineStr">
        <is>
          <t>每层独立 max_rank=1</t>
        </is>
      </c>
    </row>
    <row r="20">
      <c r="A20" s="15" t="n">
        <v>4</v>
      </c>
      <c r="B20" s="15" t="n">
        <v>50</v>
      </c>
      <c r="C20" s="19" t="n">
        <v>50000</v>
      </c>
      <c r="D20" s="20" t="n">
        <v>16</v>
      </c>
      <c r="E20" s="15" t="inlineStr">
        <is>
          <t>本轮核心</t>
        </is>
      </c>
      <c r="F20" s="15" t="inlineStr"/>
      <c r="G20" s="15" t="inlineStr">
        <is>
          <t>精密钻探</t>
        </is>
      </c>
      <c r="H20" s="15" t="inlineStr">
        <is>
          <t>逐矿检查</t>
        </is>
      </c>
      <c r="I20" s="15" t="inlineStr">
        <is>
          <t>每层独立 max_rank=1</t>
        </is>
      </c>
    </row>
    <row r="21">
      <c r="A21" s="15" t="n">
        <v>5</v>
      </c>
      <c r="B21" s="15" t="n">
        <v>100</v>
      </c>
      <c r="C21" s="19" t="n">
        <v>5000000</v>
      </c>
      <c r="D21" s="20" t="n">
        <v>32</v>
      </c>
      <c r="E21" s="15" t="inlineStr">
        <is>
          <t>升华扩展 I</t>
        </is>
      </c>
      <c r="F21" s="15" t="inlineStr">
        <is>
          <t>meta_deep_mining</t>
        </is>
      </c>
      <c r="G21" s="15" t="inlineStr">
        <is>
          <t>工业扩建</t>
        </is>
      </c>
      <c r="H21" s="15" t="inlineStr">
        <is>
          <t>逐矿检查</t>
        </is>
      </c>
      <c r="I21" s="15" t="inlineStr">
        <is>
          <t>每层独立 max_rank=1</t>
        </is>
      </c>
    </row>
    <row r="22">
      <c r="A22" s="15" t="n">
        <v>6</v>
      </c>
      <c r="B22" s="15" t="n">
        <v>150</v>
      </c>
      <c r="C22" s="19" t="n">
        <v>500000000</v>
      </c>
      <c r="D22" s="20" t="n">
        <v>64</v>
      </c>
      <c r="E22" s="15" t="inlineStr">
        <is>
          <t>升华扩展 I</t>
        </is>
      </c>
      <c r="F22" s="15" t="inlineStr">
        <is>
          <t>meta_deep_mining</t>
        </is>
      </c>
      <c r="G22" s="15" t="inlineStr">
        <is>
          <t>自动调度</t>
        </is>
      </c>
      <c r="H22" s="15" t="inlineStr">
        <is>
          <t>逐矿检查</t>
        </is>
      </c>
      <c r="I22" s="15" t="inlineStr">
        <is>
          <t>每层独立 max_rank=1</t>
        </is>
      </c>
    </row>
    <row r="23">
      <c r="A23" s="15" t="n">
        <v>7</v>
      </c>
      <c r="B23" s="15" t="n">
        <v>200</v>
      </c>
      <c r="C23" s="19" t="n">
        <v>500000000000</v>
      </c>
      <c r="D23" s="20" t="n">
        <v>128</v>
      </c>
      <c r="E23" s="15" t="inlineStr">
        <is>
          <t>大数阶段</t>
        </is>
      </c>
      <c r="F23" s="15" t="inlineStr">
        <is>
          <t>meta_abyssal_mining</t>
        </is>
      </c>
      <c r="G23" s="15" t="inlineStr">
        <is>
          <t>深层网络</t>
        </is>
      </c>
      <c r="H23" s="15" t="inlineStr">
        <is>
          <t>逐矿检查</t>
        </is>
      </c>
      <c r="I23" s="15" t="inlineStr">
        <is>
          <t>每层独立 max_rank=1</t>
        </is>
      </c>
    </row>
    <row r="24">
      <c r="A24" s="15" t="n">
        <v>8</v>
      </c>
      <c r="B24" s="15" t="n">
        <v>250</v>
      </c>
      <c r="C24" s="19" t="n">
        <v>500000000000000</v>
      </c>
      <c r="D24" s="20" t="n">
        <v>256</v>
      </c>
      <c r="E24" s="15" t="inlineStr">
        <is>
          <t>大数阶段</t>
        </is>
      </c>
      <c r="F24" s="15" t="inlineStr">
        <is>
          <t>meta_abyssal_mining</t>
        </is>
      </c>
      <c r="G24" s="15" t="inlineStr">
        <is>
          <t>量子提炼</t>
        </is>
      </c>
      <c r="H24" s="15" t="inlineStr">
        <is>
          <t>逐矿检查</t>
        </is>
      </c>
      <c r="I24" s="15" t="inlineStr">
        <is>
          <t>每层独立 max_rank=1</t>
        </is>
      </c>
    </row>
    <row r="25">
      <c r="A25" s="15" t="n">
        <v>9</v>
      </c>
      <c r="B25" s="15" t="n">
        <v>300</v>
      </c>
      <c r="C25" s="19" t="n">
        <v>5e+17</v>
      </c>
      <c r="D25" s="20" t="n">
        <v>512</v>
      </c>
      <c r="E25" s="15" t="inlineStr">
        <is>
          <t>大数阶段</t>
        </is>
      </c>
      <c r="F25" s="15" t="inlineStr">
        <is>
          <t>meta_abyssal_mining</t>
        </is>
      </c>
      <c r="G25" s="15" t="inlineStr">
        <is>
          <t>星核工艺</t>
        </is>
      </c>
      <c r="H25" s="15" t="inlineStr">
        <is>
          <t>逐矿检查</t>
        </is>
      </c>
      <c r="I25" s="15" t="inlineStr">
        <is>
          <t>每层独立 max_rank=1</t>
        </is>
      </c>
    </row>
    <row r="26">
      <c r="A26" s="15" t="n">
        <v>10</v>
      </c>
      <c r="B26" s="15" t="n">
        <v>350</v>
      </c>
      <c r="C26" s="19" t="n">
        <v>5e+20</v>
      </c>
      <c r="D26" s="20" t="n">
        <v>1024</v>
      </c>
      <c r="E26" s="15" t="inlineStr">
        <is>
          <t>大数阶段</t>
        </is>
      </c>
      <c r="F26" s="15" t="inlineStr">
        <is>
          <t>meta_abyssal_mining</t>
        </is>
      </c>
      <c r="G26" s="15" t="inlineStr">
        <is>
          <t>维度开采</t>
        </is>
      </c>
      <c r="H26" s="15" t="inlineStr">
        <is>
          <t>逐矿检查</t>
        </is>
      </c>
      <c r="I26" s="15" t="inlineStr">
        <is>
          <t>每层独立 max_rank=1</t>
        </is>
      </c>
    </row>
    <row r="27">
      <c r="A27" s="15" t="n">
        <v>11</v>
      </c>
      <c r="B27" s="15" t="n">
        <v>400</v>
      </c>
      <c r="C27" s="19" t="n">
        <v>5e+24</v>
      </c>
      <c r="D27" s="20" t="n">
        <v>2048</v>
      </c>
      <c r="E27" s="15" t="inlineStr">
        <is>
          <t>终局阶段</t>
        </is>
      </c>
      <c r="F27" s="15" t="inlineStr">
        <is>
          <t>meta_endless_mining</t>
        </is>
      </c>
      <c r="G27" s="15" t="inlineStr">
        <is>
          <t>时间压缩</t>
        </is>
      </c>
      <c r="H27" s="15" t="inlineStr">
        <is>
          <t>BigNumber</t>
        </is>
      </c>
      <c r="I27" s="15" t="inlineStr">
        <is>
          <t>每层独立 max_rank=1</t>
        </is>
      </c>
    </row>
    <row r="28">
      <c r="A28" s="15" t="n">
        <v>12</v>
      </c>
      <c r="B28" s="15" t="n">
        <v>450</v>
      </c>
      <c r="C28" s="19" t="n">
        <v>5e+28</v>
      </c>
      <c r="D28" s="20" t="n">
        <v>4096</v>
      </c>
      <c r="E28" s="15" t="inlineStr">
        <is>
          <t>终局阶段</t>
        </is>
      </c>
      <c r="F28" s="15" t="inlineStr">
        <is>
          <t>meta_endless_mining</t>
        </is>
      </c>
      <c r="G28" s="15" t="inlineStr">
        <is>
          <t>因果矿脉</t>
        </is>
      </c>
      <c r="H28" s="15" t="inlineStr">
        <is>
          <t>BigNumber</t>
        </is>
      </c>
      <c r="I28" s="15" t="inlineStr">
        <is>
          <t>每层独立 max_rank=1</t>
        </is>
      </c>
    </row>
    <row r="29">
      <c r="A29" s="15" t="n">
        <v>13</v>
      </c>
      <c r="B29" s="15" t="n">
        <v>500</v>
      </c>
      <c r="C29" s="19" t="n">
        <v>5e+32</v>
      </c>
      <c r="D29" s="20" t="n">
        <v>8192</v>
      </c>
      <c r="E29" s="15" t="inlineStr">
        <is>
          <t>终局阶段</t>
        </is>
      </c>
      <c r="F29" s="15" t="inlineStr">
        <is>
          <t>meta_endless_mining</t>
        </is>
      </c>
      <c r="G29" s="15" t="inlineStr">
        <is>
          <t>无限矿区</t>
        </is>
      </c>
      <c r="H29" s="15" t="inlineStr">
        <is>
          <t>BigNumber</t>
        </is>
      </c>
      <c r="I29" s="15" t="inlineStr">
        <is>
          <t>每层独立 max_rank=1</t>
        </is>
      </c>
    </row>
    <row r="30">
      <c r="A30" s="15" t="n">
        <v>14</v>
      </c>
      <c r="B30" s="15" t="n">
        <v>550</v>
      </c>
      <c r="C30" s="19" t="n">
        <v>5e+36</v>
      </c>
      <c r="D30" s="20" t="n">
        <v>16384</v>
      </c>
      <c r="E30" s="15" t="inlineStr">
        <is>
          <t>终局阶段</t>
        </is>
      </c>
      <c r="F30" s="15" t="inlineStr">
        <is>
          <t>meta_endless_mining</t>
        </is>
      </c>
      <c r="G30" s="15" t="inlineStr">
        <is>
          <t>概念提炼</t>
        </is>
      </c>
      <c r="H30" s="15" t="inlineStr">
        <is>
          <t>BigNumber</t>
        </is>
      </c>
      <c r="I30" s="15" t="inlineStr">
        <is>
          <t>每层独立 max_rank=1</t>
        </is>
      </c>
    </row>
    <row r="31">
      <c r="A31" s="15" t="n">
        <v>15</v>
      </c>
      <c r="B31" s="15" t="n">
        <v>600</v>
      </c>
      <c r="C31" s="19" t="n">
        <v>5e+40</v>
      </c>
      <c r="D31" s="20" t="n">
        <v>32768</v>
      </c>
      <c r="E31" s="15" t="inlineStr">
        <is>
          <t>终局阶段</t>
        </is>
      </c>
      <c r="F31" s="15" t="inlineStr">
        <is>
          <t>meta_endless_mining</t>
        </is>
      </c>
      <c r="G31" s="15" t="inlineStr">
        <is>
          <t>终极产能</t>
        </is>
      </c>
      <c r="H31" s="15" t="inlineStr">
        <is>
          <t>BigNumber</t>
        </is>
      </c>
      <c r="I31" s="15" t="inlineStr">
        <is>
          <t>每层独立 max_rank=1</t>
        </is>
      </c>
    </row>
    <row r="33" ht="25" customHeight="1">
      <c r="A33" s="12" t="inlineStr">
        <is>
          <t>迁移规则</t>
        </is>
      </c>
    </row>
    <row r="34">
      <c r="A34" s="4" t="inlineStr">
        <is>
          <t>价格增长</t>
        </is>
      </c>
      <c r="B34" s="21" t="inlineStr">
        <is>
          <t>下一座 = ceil(BasePrice×1.15^Owned)；约每4.96座翻倍。</t>
        </is>
      </c>
    </row>
    <row r="35">
      <c r="A35" s="4" t="inlineStr">
        <is>
          <t>×2里程碑</t>
        </is>
      </c>
      <c r="B35" s="21" t="inlineStr">
        <is>
          <t>1、5、25、50，然后每50座一档直到600；每层升级使该建筑所有存量产出×2。</t>
        </is>
      </c>
    </row>
    <row r="36">
      <c r="A36" s="4" t="inlineStr">
        <is>
          <t>黄金/Grandma</t>
        </is>
      </c>
      <c r="B36" s="21" t="inlineStr">
        <is>
          <t>每种后续建筑15座 + Gold≥1 解锁专精 Link；目标吃 Gold 数量加成。</t>
        </is>
      </c>
    </row>
    <row r="37">
      <c r="A37" s="4" t="inlineStr">
        <is>
          <t>Synergy I/II</t>
        </is>
      </c>
      <c r="B37" s="21" t="inlineStr">
        <is>
          <t>双方各15/75座；低价方每个高价方+5%，高价方每个低价方+0.1%。</t>
        </is>
      </c>
    </row>
    <row r="38">
      <c r="A38" s="4" t="inlineStr">
        <is>
          <t>V3压缩</t>
        </is>
      </c>
      <c r="B38" s="21" t="inlineStr">
        <is>
          <t>原版7条 Grandma-type 会使 Grandma 自身×128；V3默认改成每Link +50%，7条共×4.5。</t>
        </is>
      </c>
    </row>
    <row r="40" ht="25" customHeight="1">
      <c r="A40" s="22" t="inlineStr">
        <is>
          <t>来源</t>
        </is>
      </c>
    </row>
    <row r="41">
      <c r="A41" s="7" t="inlineStr">
        <is>
          <t>Cookie Clicker 官方游戏</t>
        </is>
      </c>
      <c r="B41" s="23" t="inlineStr">
        <is>
          <t>https://orteil.dashnet.org/cookieclicker/</t>
        </is>
      </c>
    </row>
    <row r="42">
      <c r="A42" s="7" t="inlineStr">
        <is>
          <t>Buildings 交叉表</t>
        </is>
      </c>
      <c r="B42" s="23" t="inlineStr">
        <is>
          <t>https://cookieclicker.wiki.gg/wiki/Buildings</t>
        </is>
      </c>
    </row>
    <row r="43">
      <c r="A43" s="7" t="inlineStr">
        <is>
          <t>Grandma 机制</t>
        </is>
      </c>
      <c r="B43" s="23" t="inlineStr">
        <is>
          <t>https://cookieclicker.wiki.gg/wiki/Grandma</t>
        </is>
      </c>
    </row>
    <row r="44">
      <c r="A44" s="7" t="inlineStr">
        <is>
          <t>建筑价格源码</t>
        </is>
      </c>
      <c r="B44" s="23" t="inlineStr">
        <is>
          <t>https://github.com/ozh/cookieclicker/blob/gh-pages/main.js#L7894-L8026</t>
        </is>
      </c>
    </row>
    <row r="45">
      <c r="A45" s="7" t="inlineStr">
        <is>
          <t>Tier升级源码</t>
        </is>
      </c>
      <c r="B45" s="23" t="inlineStr">
        <is>
          <t>https://github.com/ozh/cookieclicker/blob/gh-pages/main.js#L10005-L10117</t>
        </is>
      </c>
    </row>
    <row r="46">
      <c r="A46" s="7" t="inlineStr">
        <is>
          <t>Grandma-type源码</t>
        </is>
      </c>
      <c r="B46" s="23" t="inlineStr">
        <is>
          <t>https://github.com/ozh/cookieclicker/blob/gh-pages/main.js#L10224-L10246</t>
        </is>
      </c>
    </row>
    <row r="47">
      <c r="A47" s="7" t="inlineStr">
        <is>
          <t>Synergy源码</t>
        </is>
      </c>
      <c r="B47" s="23" t="inlineStr">
        <is>
          <t>https://github.com/ozh/cookieclicker/blob/gh-pages/main.js#L11001-L11034</t>
        </is>
      </c>
    </row>
  </sheetData>
  <mergeCells count="18">
    <mergeCell ref="A15:I15"/>
    <mergeCell ref="B44:I44"/>
    <mergeCell ref="A33:I33"/>
    <mergeCell ref="A2:I2"/>
    <mergeCell ref="B38:I38"/>
    <mergeCell ref="B47:I47"/>
    <mergeCell ref="B34:I34"/>
    <mergeCell ref="A1:I1"/>
    <mergeCell ref="A40:I40"/>
    <mergeCell ref="B42:I42"/>
    <mergeCell ref="B36:I36"/>
    <mergeCell ref="B37:I37"/>
    <mergeCell ref="B45:I45"/>
    <mergeCell ref="B46:I46"/>
    <mergeCell ref="B41:I41"/>
    <mergeCell ref="A4:I4"/>
    <mergeCell ref="B35:I35"/>
    <mergeCell ref="B43:I43"/>
  </mergeCells>
  <hyperlinks>
    <hyperlink xmlns:r="http://schemas.openxmlformats.org/officeDocument/2006/relationships" ref="A41" r:id="rId1"/>
    <hyperlink xmlns:r="http://schemas.openxmlformats.org/officeDocument/2006/relationships" ref="A42" r:id="rId2"/>
    <hyperlink xmlns:r="http://schemas.openxmlformats.org/officeDocument/2006/relationships" ref="A43" r:id="rId3"/>
    <hyperlink xmlns:r="http://schemas.openxmlformats.org/officeDocument/2006/relationships" ref="A44" r:id="rId4"/>
    <hyperlink xmlns:r="http://schemas.openxmlformats.org/officeDocument/2006/relationships" ref="A45" r:id="rId5"/>
    <hyperlink xmlns:r="http://schemas.openxmlformats.org/officeDocument/2006/relationships" ref="A46" r:id="rId6"/>
    <hyperlink xmlns:r="http://schemas.openxmlformats.org/officeDocument/2006/relationships" ref="A47" r:id="rId7"/>
  </hyperlinks>
  <pageMargins left="0.75" right="0.75" top="1" bottom="1" header="0.5" footer="0.5"/>
  <pageSetup fitToHeight="0" fitToWidth="1"/>
  <tableParts count="2"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1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2" customWidth="1" min="4" max="4"/>
    <col width="11" customWidth="1" min="5" max="5"/>
    <col width="10" customWidth="1" min="6" max="6"/>
    <col width="15" customWidth="1" min="7" max="7"/>
    <col width="13" customWidth="1" min="8" max="8"/>
    <col width="13" customWidth="1" min="9" max="9"/>
    <col width="15" customWidth="1" min="10" max="10"/>
    <col width="19" customWidth="1" min="11" max="11"/>
    <col width="11" customWidth="1" min="12" max="12"/>
    <col width="15" customWidth="1" min="13" max="13"/>
    <col width="13" customWidth="1" min="14" max="14"/>
    <col width="17" customWidth="1" min="15" max="15"/>
    <col width="13" customWidth="1" min="16" max="16"/>
    <col width="18" customWidth="1" min="17" max="17"/>
    <col width="19" customWidth="1" min="18" max="18"/>
    <col width="16" customWidth="1" min="19" max="19"/>
    <col width="16" customWidth="1" min="20" max="20"/>
    <col width="12" customWidth="1" min="21" max="21"/>
    <col width="13" customWidth="1" min="22" max="22"/>
    <col width="17" customWidth="1" min="23" max="23"/>
    <col width="19" customWidth="1" min="24" max="24"/>
  </cols>
  <sheetData>
    <row r="1" ht="34" customHeight="1">
      <c r="A1" s="1" t="inlineStr">
        <is>
          <t>8 种矿 = 8 类自动建筑</t>
        </is>
      </c>
    </row>
    <row r="2" ht="31" customHeight="1">
      <c r="A2" s="2" t="inlineStr">
        <is>
          <t>黄色为策划输入，蓝色为 Excel 计算结果。BasePrice/BaseCPS 等比例取 Cookie Clicker 前8建筑×5。</t>
        </is>
      </c>
    </row>
    <row r="4" ht="34" customHeight="1">
      <c r="A4" s="14" t="inlineStr">
        <is>
          <t>Ore_ID</t>
        </is>
      </c>
      <c r="B4" s="14" t="inlineStr">
        <is>
          <t>名称</t>
        </is>
      </c>
      <c r="C4" s="14" t="inlineStr">
        <is>
          <t>CC槽</t>
        </is>
      </c>
      <c r="D4" s="14" t="inlineStr">
        <is>
          <t>当前Value</t>
        </is>
      </c>
      <c r="E4" s="14" t="inlineStr">
        <is>
          <t>当前HP</t>
        </is>
      </c>
      <c r="F4" s="14" t="inlineStr">
        <is>
          <t>Weight</t>
        </is>
      </c>
      <c r="G4" s="14" t="inlineStr">
        <is>
          <t>BasePrice</t>
        </is>
      </c>
      <c r="H4" s="14" t="inlineStr">
        <is>
          <t>BaseCPS</t>
        </is>
      </c>
      <c r="I4" s="14" t="inlineStr">
        <is>
          <t>PriceGrowth</t>
        </is>
      </c>
      <c r="J4" s="14" t="inlineStr">
        <is>
          <t>UnlockCost</t>
        </is>
      </c>
      <c r="K4" s="14" t="inlineStr">
        <is>
          <t>UnlockCondition</t>
        </is>
      </c>
      <c r="L4" s="14" t="inlineStr">
        <is>
          <t>Owned*</t>
        </is>
      </c>
      <c r="M4" s="14" t="inlineStr">
        <is>
          <t>TierUpgrades*</t>
        </is>
      </c>
      <c r="N4" s="14" t="inlineStr">
        <is>
          <t>GoldOwned*</t>
        </is>
      </c>
      <c r="O4" s="14" t="inlineStr">
        <is>
          <t>GoldLinkActive*</t>
        </is>
      </c>
      <c r="P4" s="14" t="inlineStr">
        <is>
          <t>GoldDivisor</t>
        </is>
      </c>
      <c r="Q4" s="14" t="inlineStr">
        <is>
          <t>GoldLinksBought*</t>
        </is>
      </c>
      <c r="R4" s="14" t="inlineStr">
        <is>
          <t>PairSynergyMult*</t>
        </is>
      </c>
      <c r="S4" s="14" t="inlineStr">
        <is>
          <t>NextPrice</t>
        </is>
      </c>
      <c r="T4" s="14" t="inlineStr">
        <is>
          <t>Bulk10</t>
        </is>
      </c>
      <c r="U4" s="14" t="inlineStr">
        <is>
          <t>TierMult</t>
        </is>
      </c>
      <c r="V4" s="14" t="inlineStr">
        <is>
          <t>GoldBoost</t>
        </is>
      </c>
      <c r="W4" s="14" t="inlineStr">
        <is>
          <t>TotalCPS</t>
        </is>
      </c>
      <c r="X4" s="14" t="inlineStr">
        <is>
          <t>首座静态回本秒</t>
        </is>
      </c>
    </row>
    <row r="5">
      <c r="A5" s="15" t="inlineStr">
        <is>
          <t>coal</t>
        </is>
      </c>
      <c r="B5" s="15" t="inlineStr">
        <is>
          <t>煤矿</t>
        </is>
      </c>
      <c r="C5" s="15" t="inlineStr">
        <is>
          <t>Cursor</t>
        </is>
      </c>
      <c r="D5" s="15" t="n">
        <v>2</v>
      </c>
      <c r="E5" s="15" t="n">
        <v>10</v>
      </c>
      <c r="F5" s="15" t="n">
        <v>50</v>
      </c>
      <c r="G5" s="15" t="n">
        <v>75</v>
      </c>
      <c r="H5" s="15" t="n">
        <v>0.5</v>
      </c>
      <c r="I5" s="24" t="n">
        <v>1.15</v>
      </c>
      <c r="J5" s="15" t="n">
        <v>0</v>
      </c>
      <c r="K5" s="15" t="inlineStr">
        <is>
          <t>开局</t>
        </is>
      </c>
      <c r="L5" s="25" t="n">
        <v>0</v>
      </c>
      <c r="M5" s="25" t="n">
        <v>0</v>
      </c>
      <c r="N5" s="25" t="n">
        <v>0</v>
      </c>
      <c r="O5" s="25" t="b">
        <v>0</v>
      </c>
      <c r="P5" s="25" t="n">
        <v>1</v>
      </c>
      <c r="Q5" s="25" t="n">
        <v>0</v>
      </c>
      <c r="R5" s="26" t="n">
        <v>1</v>
      </c>
      <c r="S5" s="27">
        <f>ROUNDUP(G5*POWER(I5,L5),0)</f>
        <v/>
      </c>
      <c r="T5" s="27">
        <f>ROUNDUP(G5*POWER(I5,L5)*(POWER(I5,10)-1)/(I5-1),0)</f>
        <v/>
      </c>
      <c r="U5" s="27">
        <f>POWER(2,M5)</f>
        <v/>
      </c>
      <c r="V5" s="28">
        <f>IF(O5,1+N5*1%/P5,1)</f>
        <v/>
      </c>
      <c r="W5" s="29">
        <f>L5*H5*U5*V5*R5</f>
        <v/>
      </c>
      <c r="X5" s="30">
        <f>G5/H5</f>
        <v/>
      </c>
    </row>
    <row r="6">
      <c r="A6" s="15" t="inlineStr">
        <is>
          <t>iron</t>
        </is>
      </c>
      <c r="B6" s="15" t="inlineStr">
        <is>
          <t>铁矿</t>
        </is>
      </c>
      <c r="C6" s="15" t="inlineStr">
        <is>
          <t>Grandma（数值槽）</t>
        </is>
      </c>
      <c r="D6" s="15" t="n">
        <v>2</v>
      </c>
      <c r="E6" s="15" t="n">
        <v>10</v>
      </c>
      <c r="F6" s="15" t="n">
        <v>100</v>
      </c>
      <c r="G6" s="15" t="n">
        <v>500</v>
      </c>
      <c r="H6" s="15" t="n">
        <v>5</v>
      </c>
      <c r="I6" s="24" t="n">
        <v>1.15</v>
      </c>
      <c r="J6" s="15" t="n">
        <v>250</v>
      </c>
      <c r="K6" s="15" t="inlineStr">
        <is>
          <t>coal≥10</t>
        </is>
      </c>
      <c r="L6" s="25" t="n">
        <v>0</v>
      </c>
      <c r="M6" s="25" t="n">
        <v>0</v>
      </c>
      <c r="N6" s="25" t="n">
        <v>0</v>
      </c>
      <c r="O6" s="25" t="b">
        <v>0</v>
      </c>
      <c r="P6" s="25" t="n">
        <v>2</v>
      </c>
      <c r="Q6" s="25" t="n">
        <v>0</v>
      </c>
      <c r="R6" s="26" t="n">
        <v>1</v>
      </c>
      <c r="S6" s="27">
        <f>ROUNDUP(G6*POWER(I6,L6),0)</f>
        <v/>
      </c>
      <c r="T6" s="27">
        <f>ROUNDUP(G6*POWER(I6,L6)*(POWER(I6,10)-1)/(I6-1),0)</f>
        <v/>
      </c>
      <c r="U6" s="27">
        <f>POWER(2,M6)</f>
        <v/>
      </c>
      <c r="V6" s="28">
        <f>IF(O6,1+N6*1%/P6,1)</f>
        <v/>
      </c>
      <c r="W6" s="29">
        <f>L6*H6*U6*V6*R6</f>
        <v/>
      </c>
      <c r="X6" s="30">
        <f>G6/H6</f>
        <v/>
      </c>
    </row>
    <row r="7">
      <c r="A7" s="15" t="inlineStr">
        <is>
          <t>zinc</t>
        </is>
      </c>
      <c r="B7" s="15" t="inlineStr">
        <is>
          <t>锌矿</t>
        </is>
      </c>
      <c r="C7" s="15" t="inlineStr">
        <is>
          <t>Farm</t>
        </is>
      </c>
      <c r="D7" s="15" t="n">
        <v>3</v>
      </c>
      <c r="E7" s="15" t="n">
        <v>12</v>
      </c>
      <c r="F7" s="15" t="n">
        <v>40</v>
      </c>
      <c r="G7" s="15" t="n">
        <v>5500</v>
      </c>
      <c r="H7" s="15" t="n">
        <v>40</v>
      </c>
      <c r="I7" s="24" t="n">
        <v>1.15</v>
      </c>
      <c r="J7" s="15" t="n">
        <v>2750</v>
      </c>
      <c r="K7" s="15" t="inlineStr">
        <is>
          <t>iron≥15</t>
        </is>
      </c>
      <c r="L7" s="25" t="n">
        <v>0</v>
      </c>
      <c r="M7" s="25" t="n">
        <v>0</v>
      </c>
      <c r="N7" s="25" t="n">
        <v>0</v>
      </c>
      <c r="O7" s="25" t="b">
        <v>0</v>
      </c>
      <c r="P7" s="25" t="n">
        <v>3</v>
      </c>
      <c r="Q7" s="25" t="n">
        <v>0</v>
      </c>
      <c r="R7" s="26" t="n">
        <v>1</v>
      </c>
      <c r="S7" s="27">
        <f>ROUNDUP(G7*POWER(I7,L7),0)</f>
        <v/>
      </c>
      <c r="T7" s="27">
        <f>ROUNDUP(G7*POWER(I7,L7)*(POWER(I7,10)-1)/(I7-1),0)</f>
        <v/>
      </c>
      <c r="U7" s="27">
        <f>POWER(2,M7)</f>
        <v/>
      </c>
      <c r="V7" s="28">
        <f>IF(O7,1+N7*1%/P7,1)</f>
        <v/>
      </c>
      <c r="W7" s="29">
        <f>L7*H7*U7*V7*R7</f>
        <v/>
      </c>
      <c r="X7" s="30">
        <f>G7/H7</f>
        <v/>
      </c>
    </row>
    <row r="8">
      <c r="A8" s="15" t="inlineStr">
        <is>
          <t>gold</t>
        </is>
      </c>
      <c r="B8" s="15" t="inlineStr">
        <is>
          <t>金矿</t>
        </is>
      </c>
      <c r="C8" s="15" t="inlineStr">
        <is>
          <t>Mine（数值槽）</t>
        </is>
      </c>
      <c r="D8" s="15" t="n">
        <v>12</v>
      </c>
      <c r="E8" s="15" t="n">
        <v>40</v>
      </c>
      <c r="F8" s="15" t="n">
        <v>25</v>
      </c>
      <c r="G8" s="15" t="n">
        <v>60000</v>
      </c>
      <c r="H8" s="15" t="n">
        <v>235</v>
      </c>
      <c r="I8" s="24" t="n">
        <v>1.15</v>
      </c>
      <c r="J8" s="15" t="n">
        <v>30000</v>
      </c>
      <c r="K8" s="15" t="inlineStr">
        <is>
          <t>zinc≥15</t>
        </is>
      </c>
      <c r="L8" s="25" t="n">
        <v>0</v>
      </c>
      <c r="M8" s="25" t="n">
        <v>0</v>
      </c>
      <c r="N8" s="25" t="n">
        <v>0</v>
      </c>
      <c r="O8" s="25" t="b">
        <v>0</v>
      </c>
      <c r="P8" s="25" t="inlineStr"/>
      <c r="Q8" s="25" t="n">
        <v>0</v>
      </c>
      <c r="R8" s="26" t="n">
        <v>1</v>
      </c>
      <c r="S8" s="27">
        <f>ROUNDUP(G8*POWER(I8,L8),0)</f>
        <v/>
      </c>
      <c r="T8" s="27">
        <f>ROUNDUP(G8*POWER(I8,L8)*(POWER(I8,10)-1)/(I8-1),0)</f>
        <v/>
      </c>
      <c r="U8" s="27">
        <f>POWER(2,M8)</f>
        <v/>
      </c>
      <c r="V8" s="28">
        <f>IF(Balance!$B$5="原版",POWER(2,Q8),1+0.5*Q8)</f>
        <v/>
      </c>
      <c r="W8" s="29">
        <f>L8*H8*U8*V8*R8</f>
        <v/>
      </c>
      <c r="X8" s="30">
        <f>G8/H8</f>
        <v/>
      </c>
    </row>
    <row r="9">
      <c r="A9" s="15" t="inlineStr">
        <is>
          <t>crystal</t>
        </is>
      </c>
      <c r="B9" s="15" t="inlineStr">
        <is>
          <t>水晶矿</t>
        </is>
      </c>
      <c r="C9" s="15" t="inlineStr">
        <is>
          <t>Factory</t>
        </is>
      </c>
      <c r="D9" s="15" t="n">
        <v>25</v>
      </c>
      <c r="E9" s="15" t="n">
        <v>70</v>
      </c>
      <c r="F9" s="15" t="n">
        <v>10</v>
      </c>
      <c r="G9" s="15" t="n">
        <v>650000</v>
      </c>
      <c r="H9" s="15" t="n">
        <v>1300</v>
      </c>
      <c r="I9" s="24" t="n">
        <v>1.15</v>
      </c>
      <c r="J9" s="15" t="n">
        <v>325000</v>
      </c>
      <c r="K9" s="15" t="inlineStr">
        <is>
          <t>gold≥15</t>
        </is>
      </c>
      <c r="L9" s="25" t="n">
        <v>0</v>
      </c>
      <c r="M9" s="25" t="n">
        <v>0</v>
      </c>
      <c r="N9" s="25" t="n">
        <v>0</v>
      </c>
      <c r="O9" s="25" t="b">
        <v>0</v>
      </c>
      <c r="P9" s="25" t="n">
        <v>4</v>
      </c>
      <c r="Q9" s="25" t="n">
        <v>0</v>
      </c>
      <c r="R9" s="26" t="n">
        <v>1</v>
      </c>
      <c r="S9" s="27">
        <f>ROUNDUP(G9*POWER(I9,L9),0)</f>
        <v/>
      </c>
      <c r="T9" s="27">
        <f>ROUNDUP(G9*POWER(I9,L9)*(POWER(I9,10)-1)/(I9-1),0)</f>
        <v/>
      </c>
      <c r="U9" s="27">
        <f>POWER(2,M9)</f>
        <v/>
      </c>
      <c r="V9" s="28">
        <f>IF(O9,1+N9*1%/P9,1)</f>
        <v/>
      </c>
      <c r="W9" s="29">
        <f>L9*H9*U9*V9*R9</f>
        <v/>
      </c>
      <c r="X9" s="30">
        <f>G9/H9</f>
        <v/>
      </c>
    </row>
    <row r="10">
      <c r="A10" s="15" t="inlineStr">
        <is>
          <t>obsidian</t>
        </is>
      </c>
      <c r="B10" s="15" t="inlineStr">
        <is>
          <t>黑曜石</t>
        </is>
      </c>
      <c r="C10" s="15" t="inlineStr">
        <is>
          <t>Bank</t>
        </is>
      </c>
      <c r="D10" s="15" t="n">
        <v>35</v>
      </c>
      <c r="E10" s="15" t="n">
        <v>100</v>
      </c>
      <c r="F10" s="15" t="n">
        <v>8</v>
      </c>
      <c r="G10" s="15" t="n">
        <v>7000000</v>
      </c>
      <c r="H10" s="15" t="n">
        <v>7000</v>
      </c>
      <c r="I10" s="24" t="n">
        <v>1.15</v>
      </c>
      <c r="J10" s="15" t="n">
        <v>3500000</v>
      </c>
      <c r="K10" s="15" t="inlineStr">
        <is>
          <t>crystal≥15</t>
        </is>
      </c>
      <c r="L10" s="25" t="n">
        <v>0</v>
      </c>
      <c r="M10" s="25" t="n">
        <v>0</v>
      </c>
      <c r="N10" s="25" t="n">
        <v>0</v>
      </c>
      <c r="O10" s="25" t="b">
        <v>0</v>
      </c>
      <c r="P10" s="25" t="n">
        <v>5</v>
      </c>
      <c r="Q10" s="25" t="n">
        <v>0</v>
      </c>
      <c r="R10" s="26" t="n">
        <v>1</v>
      </c>
      <c r="S10" s="27">
        <f>ROUNDUP(G10*POWER(I10,L10),0)</f>
        <v/>
      </c>
      <c r="T10" s="27">
        <f>ROUNDUP(G10*POWER(I10,L10)*(POWER(I10,10)-1)/(I10-1),0)</f>
        <v/>
      </c>
      <c r="U10" s="27">
        <f>POWER(2,M10)</f>
        <v/>
      </c>
      <c r="V10" s="28">
        <f>IF(O10,1+N10*1%/P10,1)</f>
        <v/>
      </c>
      <c r="W10" s="29">
        <f>L10*H10*U10*V10*R10</f>
        <v/>
      </c>
      <c r="X10" s="30">
        <f>G10/H10</f>
        <v/>
      </c>
    </row>
    <row r="11">
      <c r="A11" s="15" t="inlineStr">
        <is>
          <t>diamond</t>
        </is>
      </c>
      <c r="B11" s="15" t="inlineStr">
        <is>
          <t>钻石矿</t>
        </is>
      </c>
      <c r="C11" s="15" t="inlineStr">
        <is>
          <t>Temple</t>
        </is>
      </c>
      <c r="D11" s="15" t="n">
        <v>40</v>
      </c>
      <c r="E11" s="15" t="n">
        <v>120</v>
      </c>
      <c r="F11" s="15" t="n">
        <v>5</v>
      </c>
      <c r="G11" s="15" t="n">
        <v>100000000</v>
      </c>
      <c r="H11" s="15" t="n">
        <v>39000</v>
      </c>
      <c r="I11" s="24" t="n">
        <v>1.15</v>
      </c>
      <c r="J11" s="15" t="n">
        <v>50000000</v>
      </c>
      <c r="K11" s="15" t="inlineStr">
        <is>
          <t>obsidian≥15</t>
        </is>
      </c>
      <c r="L11" s="25" t="n">
        <v>0</v>
      </c>
      <c r="M11" s="25" t="n">
        <v>0</v>
      </c>
      <c r="N11" s="25" t="n">
        <v>0</v>
      </c>
      <c r="O11" s="25" t="b">
        <v>0</v>
      </c>
      <c r="P11" s="25" t="n">
        <v>6</v>
      </c>
      <c r="Q11" s="25" t="n">
        <v>0</v>
      </c>
      <c r="R11" s="26" t="n">
        <v>1</v>
      </c>
      <c r="S11" s="27">
        <f>ROUNDUP(G11*POWER(I11,L11),0)</f>
        <v/>
      </c>
      <c r="T11" s="27">
        <f>ROUNDUP(G11*POWER(I11,L11)*(POWER(I11,10)-1)/(I11-1),0)</f>
        <v/>
      </c>
      <c r="U11" s="27">
        <f>POWER(2,M11)</f>
        <v/>
      </c>
      <c r="V11" s="28">
        <f>IF(O11,1+N11*1%/P11,1)</f>
        <v/>
      </c>
      <c r="W11" s="29">
        <f>L11*H11*U11*V11*R11</f>
        <v/>
      </c>
      <c r="X11" s="30">
        <f>G11/H11</f>
        <v/>
      </c>
    </row>
    <row r="12">
      <c r="A12" s="15" t="inlineStr">
        <is>
          <t>cat</t>
        </is>
      </c>
      <c r="B12" s="15" t="inlineStr">
        <is>
          <t>猫矿</t>
        </is>
      </c>
      <c r="C12" s="15" t="inlineStr">
        <is>
          <t>Wizard Tower</t>
        </is>
      </c>
      <c r="D12" s="15" t="n">
        <v>500</v>
      </c>
      <c r="E12" s="15" t="n">
        <v>300</v>
      </c>
      <c r="F12" s="15" t="n">
        <v>1</v>
      </c>
      <c r="G12" s="15" t="n">
        <v>1650000000</v>
      </c>
      <c r="H12" s="15" t="n">
        <v>220000</v>
      </c>
      <c r="I12" s="24" t="n">
        <v>1.15</v>
      </c>
      <c r="J12" s="15" t="n">
        <v>825000000</v>
      </c>
      <c r="K12" s="15" t="inlineStr">
        <is>
          <t>diamond≥15</t>
        </is>
      </c>
      <c r="L12" s="25" t="n">
        <v>0</v>
      </c>
      <c r="M12" s="25" t="n">
        <v>0</v>
      </c>
      <c r="N12" s="25" t="n">
        <v>0</v>
      </c>
      <c r="O12" s="25" t="b">
        <v>0</v>
      </c>
      <c r="P12" s="25" t="n">
        <v>7</v>
      </c>
      <c r="Q12" s="25" t="n">
        <v>0</v>
      </c>
      <c r="R12" s="26" t="n">
        <v>1</v>
      </c>
      <c r="S12" s="27">
        <f>ROUNDUP(G12*POWER(I12,L12),0)</f>
        <v/>
      </c>
      <c r="T12" s="27">
        <f>ROUNDUP(G12*POWER(I12,L12)*(POWER(I12,10)-1)/(I12-1),0)</f>
        <v/>
      </c>
      <c r="U12" s="27">
        <f>POWER(2,M12)</f>
        <v/>
      </c>
      <c r="V12" s="28">
        <f>IF(O12,1+N12*1%/P12,1)</f>
        <v/>
      </c>
      <c r="W12" s="29">
        <f>L12*H12*U12*V12*R12</f>
        <v/>
      </c>
      <c r="X12" s="30">
        <f>G12/H12</f>
        <v/>
      </c>
    </row>
    <row r="15" ht="25" customHeight="1">
      <c r="A15" s="11" t="inlineStr">
        <is>
          <t>模型边界</t>
        </is>
      </c>
    </row>
    <row r="16" ht="27" customHeight="1">
      <c r="A16" s="21" t="inlineStr">
        <is>
          <t>• 自动建筑直接产生金币/秒；物理网格矿仍保留点击、火、火山、水、升级等玩法，但不得把同一份建筑产出再次结算。</t>
        </is>
      </c>
    </row>
    <row r="17" ht="27" customHeight="1">
      <c r="A17" s="21" t="inlineStr">
        <is>
          <t>• GoldOwned 与 GoldLinkActive 只影响目标自动建筑；不乘实体矿售价，也不再乘全局金币。</t>
        </is>
      </c>
    </row>
    <row r="18" ht="27" customHeight="1">
      <c r="A18" s="21" t="inlineStr">
        <is>
          <t>• TierUpgrades 只统计已购买的独立 ×2 天赋按钮；场上实体矿 Lv1~3 不计入此列。</t>
        </is>
      </c>
    </row>
    <row r="19" ht="27" customHeight="1">
      <c r="A19" s="21" t="inlineStr">
        <is>
          <t>• 所有价格计算在正式代码中使用 BigNumber；Excel 的 Cost_Mantissa/Exponent 是序列化依据。</t>
        </is>
      </c>
    </row>
  </sheetData>
  <autoFilter ref="A4:X12"/>
  <mergeCells count="7">
    <mergeCell ref="A2:X2"/>
    <mergeCell ref="A16:X16"/>
    <mergeCell ref="A15:X15"/>
    <mergeCell ref="A19:X19"/>
    <mergeCell ref="A1:X1"/>
    <mergeCell ref="A17:X17"/>
    <mergeCell ref="A18:X18"/>
  </mergeCells>
  <dataValidations count="1">
    <dataValidation sqref="O5:O12" showDropDown="0" showInputMessage="0" showErrorMessage="0" allowBlank="0" type="list">
      <formula1>"TRUE,FALSE"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W19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15" customWidth="1" min="3" max="3"/>
    <col width="14" customWidth="1" min="4" max="4"/>
    <col width="11" customWidth="1" min="5" max="5"/>
    <col width="35" customWidth="1" min="6" max="6"/>
    <col width="24" customWidth="1" min="7" max="7"/>
    <col width="30" customWidth="1" min="8" max="8"/>
    <col width="11" customWidth="1" min="9" max="9"/>
    <col width="17" customWidth="1" min="10" max="10"/>
    <col width="15" customWidth="1" min="11" max="11"/>
    <col width="15" customWidth="1" min="12" max="12"/>
    <col width="15" customWidth="1" min="13" max="13"/>
    <col width="25" customWidth="1" min="14" max="14"/>
    <col width="24" customWidth="1" min="15" max="15"/>
    <col width="16" customWidth="1" min="16" max="16"/>
    <col width="15" customWidth="1" min="17" max="17"/>
    <col width="44" customWidth="1" min="18" max="18"/>
    <col width="42" customWidth="1" min="19" max="19"/>
    <col width="17" customWidth="1" min="20" max="20"/>
    <col width="20" customWidth="1" min="21" max="21"/>
    <col width="45" customWidth="1" min="22" max="22"/>
    <col width="46" customWidth="1" min="23" max="23"/>
  </cols>
  <sheetData>
    <row r="1" ht="34" customHeight="1">
      <c r="A1" s="1" t="inlineStr">
        <is>
          <t>普通天赋节点主表</t>
        </is>
      </c>
    </row>
    <row r="2" ht="31" customHeight="1">
      <c r="A2" s="2" t="inlineStr">
        <is>
          <t>每一行就是一个可购买按钮。实现时以 Node_ID、前置、Effect_Type、Target_IDs 为权威字段。</t>
        </is>
      </c>
    </row>
    <row r="4" ht="34" customHeight="1">
      <c r="A4" s="14" t="inlineStr">
        <is>
          <t>Node_ID</t>
        </is>
      </c>
      <c r="B4" s="14" t="inlineStr">
        <is>
          <t>名称</t>
        </is>
      </c>
      <c r="C4" s="14" t="inlineStr">
        <is>
          <t>树分组</t>
        </is>
      </c>
      <c r="D4" s="14" t="inlineStr">
        <is>
          <t>分支</t>
        </is>
      </c>
      <c r="E4" s="14" t="inlineStr">
        <is>
          <t>等级</t>
        </is>
      </c>
      <c r="F4" s="14" t="inlineStr">
        <is>
          <t>前置_IDs</t>
        </is>
      </c>
      <c r="G4" s="14" t="inlineStr">
        <is>
          <t>Advanced前置</t>
        </is>
      </c>
      <c r="H4" s="14" t="inlineStr">
        <is>
          <t>解锁条件</t>
        </is>
      </c>
      <c r="I4" s="14" t="inlineStr">
        <is>
          <t>货币</t>
        </is>
      </c>
      <c r="J4" s="14" t="inlineStr">
        <is>
          <t>Cost_Number</t>
        </is>
      </c>
      <c r="K4" s="14" t="inlineStr">
        <is>
          <t>Cost_Display</t>
        </is>
      </c>
      <c r="L4" s="14" t="inlineStr">
        <is>
          <t>Cost_Mantissa</t>
        </is>
      </c>
      <c r="M4" s="14" t="inlineStr">
        <is>
          <t>Cost_Exponent</t>
        </is>
      </c>
      <c r="N4" s="14" t="inlineStr">
        <is>
          <t>Effect_Type</t>
        </is>
      </c>
      <c r="O4" s="14" t="inlineStr">
        <is>
          <t>Target_IDs</t>
        </is>
      </c>
      <c r="P4" s="14" t="inlineStr">
        <is>
          <t>Operation</t>
        </is>
      </c>
      <c r="Q4" s="14" t="inlineStr">
        <is>
          <t>Value</t>
        </is>
      </c>
      <c r="R4" s="14" t="inlineStr">
        <is>
          <t>Secondary_Effect</t>
        </is>
      </c>
      <c r="S4" s="14" t="inlineStr">
        <is>
          <t>玩家描述</t>
        </is>
      </c>
      <c r="T4" s="14" t="inlineStr">
        <is>
          <t>阶段</t>
        </is>
      </c>
      <c r="U4" s="14" t="inlineStr">
        <is>
          <t>Requires_BigNumber</t>
        </is>
      </c>
      <c r="V4" s="14" t="inlineStr">
        <is>
          <t>实现说明</t>
        </is>
      </c>
      <c r="W4" s="14" t="inlineStr">
        <is>
          <t>数值公式/依据</t>
        </is>
      </c>
    </row>
    <row r="5" ht="36" customHeight="1">
      <c r="A5" s="15" t="inlineStr">
        <is>
          <t>unlock_coal</t>
        </is>
      </c>
      <c r="B5" s="15" t="inlineStr">
        <is>
          <t>解锁·煤矿</t>
        </is>
      </c>
      <c r="C5" s="31" t="inlineStr">
        <is>
          <t>矿物解锁</t>
        </is>
      </c>
      <c r="D5" s="15" t="inlineStr">
        <is>
          <t>coal</t>
        </is>
      </c>
      <c r="E5" s="15" t="inlineStr">
        <is>
          <t>Unlock</t>
        </is>
      </c>
      <c r="F5" s="15" t="inlineStr"/>
      <c r="G5" s="15" t="inlineStr"/>
      <c r="H5" s="15" t="inlineStr">
        <is>
          <t>开局已购买</t>
        </is>
      </c>
      <c r="I5" s="15" t="inlineStr">
        <is>
          <t>金币</t>
        </is>
      </c>
      <c r="J5" s="20" t="n">
        <v>0</v>
      </c>
      <c r="K5" s="15" t="inlineStr">
        <is>
          <t>0</t>
        </is>
      </c>
      <c r="L5" s="32" t="n">
        <v>0</v>
      </c>
      <c r="M5" s="15" t="n">
        <v>0</v>
      </c>
      <c r="N5" s="15" t="inlineStr">
        <is>
          <t>UNLOCK_PRODUCER_AND_ORE</t>
        </is>
      </c>
      <c r="O5" s="15" t="inlineStr">
        <is>
          <t>coal</t>
        </is>
      </c>
      <c r="P5" s="15" t="inlineStr">
        <is>
          <t>UNLOCK</t>
        </is>
      </c>
      <c r="Q5" s="15" t="n">
        <v>1</v>
      </c>
      <c r="R5" s="15" t="inlineStr"/>
      <c r="S5" s="15" t="inlineStr">
        <is>
          <t>解锁煤矿自动建筑商店，并允许实体 coal 进入自然落矿池；该实体矿的Lv1~3同时允许。</t>
        </is>
      </c>
      <c r="T5" s="15" t="inlineStr">
        <is>
          <t>本轮核心</t>
        </is>
      </c>
      <c r="U5" s="15" t="b">
        <v>0</v>
      </c>
      <c r="V5" s="15" t="inlineStr">
        <is>
          <t>当前DefDb会加载全部矿物；V3必须在建筑商店与roll_ore两处同时校验。</t>
        </is>
      </c>
      <c r="W5" s="15" t="inlineStr">
        <is>
          <t>Coal免费；其余解锁成本严格等于该矿BasePrice×0.5，不再做有效数字取整。</t>
        </is>
      </c>
    </row>
    <row r="6" ht="36" customHeight="1">
      <c r="A6" s="15" t="inlineStr">
        <is>
          <t>prod_coal_01</t>
        </is>
      </c>
      <c r="B6" s="15" t="inlineStr">
        <is>
          <t>煤矿·基础工具</t>
        </is>
      </c>
      <c r="C6" s="31" t="inlineStr">
        <is>
          <t>矿物产能</t>
        </is>
      </c>
      <c r="D6" s="15" t="inlineStr">
        <is>
          <t>coal</t>
        </is>
      </c>
      <c r="E6" s="15" t="n">
        <v>1</v>
      </c>
      <c r="F6" s="15" t="inlineStr">
        <is>
          <t>unlock_coal</t>
        </is>
      </c>
      <c r="G6" s="15" t="inlineStr"/>
      <c r="H6" s="15" t="inlineStr">
        <is>
          <t>coal_owned ≥ 1</t>
        </is>
      </c>
      <c r="I6" s="15" t="inlineStr">
        <is>
          <t>金币</t>
        </is>
      </c>
      <c r="J6" s="20" t="n">
        <v>750</v>
      </c>
      <c r="K6" s="15" t="inlineStr">
        <is>
          <t>750</t>
        </is>
      </c>
      <c r="L6" s="32" t="n">
        <v>7.5</v>
      </c>
      <c r="M6" s="15" t="n">
        <v>2</v>
      </c>
      <c r="N6" s="15" t="inlineStr">
        <is>
          <t>BUILDING_CPS_MULT</t>
        </is>
      </c>
      <c r="O6" s="15" t="inlineStr">
        <is>
          <t>coal</t>
        </is>
      </c>
      <c r="P6" s="15" t="inlineStr">
        <is>
          <t>MULTIPLY</t>
        </is>
      </c>
      <c r="Q6" s="15" t="n">
        <v>2</v>
      </c>
      <c r="R6" s="15" t="inlineStr"/>
      <c r="S6" s="15" t="inlineStr">
        <is>
          <t>所有已拥有的煤矿自动建筑产量 ×2；购买后该矿常规升级累计倍率为 ×2。</t>
        </is>
      </c>
      <c r="T6" s="15" t="inlineStr">
        <is>
          <t>本轮核心</t>
        </is>
      </c>
      <c r="U6" s="15" t="b">
        <v>0</v>
      </c>
      <c r="V6" s="15" t="inlineStr">
        <is>
          <t>每一级都是独立按钮（max_rank=1）；不要压成一个可连点等级字段。</t>
        </is>
      </c>
      <c r="W6" s="15" t="inlineStr">
        <is>
          <t>cost = 75 × 1e+01；解锁持有数=1。</t>
        </is>
      </c>
    </row>
    <row r="7" ht="36" customHeight="1">
      <c r="A7" s="15" t="inlineStr">
        <is>
          <t>prod_coal_02</t>
        </is>
      </c>
      <c r="B7" s="15" t="inlineStr">
        <is>
          <t>煤矿·标准流程</t>
        </is>
      </c>
      <c r="C7" s="31" t="inlineStr">
        <is>
          <t>矿物产能</t>
        </is>
      </c>
      <c r="D7" s="15" t="inlineStr">
        <is>
          <t>coal</t>
        </is>
      </c>
      <c r="E7" s="15" t="n">
        <v>2</v>
      </c>
      <c r="F7" s="15" t="inlineStr">
        <is>
          <t>prod_coal_01</t>
        </is>
      </c>
      <c r="G7" s="15" t="inlineStr"/>
      <c r="H7" s="15" t="inlineStr">
        <is>
          <t>coal_owned ≥ 5</t>
        </is>
      </c>
      <c r="I7" s="15" t="inlineStr">
        <is>
          <t>金币</t>
        </is>
      </c>
      <c r="J7" s="20" t="n">
        <v>3750</v>
      </c>
      <c r="K7" s="15" t="inlineStr">
        <is>
          <t>3.75K</t>
        </is>
      </c>
      <c r="L7" s="32" t="n">
        <v>3.75</v>
      </c>
      <c r="M7" s="15" t="n">
        <v>3</v>
      </c>
      <c r="N7" s="15" t="inlineStr">
        <is>
          <t>BUILDING_CPS_MULT</t>
        </is>
      </c>
      <c r="O7" s="15" t="inlineStr">
        <is>
          <t>coal</t>
        </is>
      </c>
      <c r="P7" s="15" t="inlineStr">
        <is>
          <t>MULTIPLY</t>
        </is>
      </c>
      <c r="Q7" s="15" t="n">
        <v>2</v>
      </c>
      <c r="R7" s="15" t="inlineStr"/>
      <c r="S7" s="15" t="inlineStr">
        <is>
          <t>所有已拥有的煤矿自动建筑产量 ×2；购买后该矿常规升级累计倍率为 ×4。</t>
        </is>
      </c>
      <c r="T7" s="15" t="inlineStr">
        <is>
          <t>本轮核心</t>
        </is>
      </c>
      <c r="U7" s="15" t="b">
        <v>0</v>
      </c>
      <c r="V7" s="15" t="inlineStr">
        <is>
          <t>每一级都是独立按钮（max_rank=1）；不要压成一个可连点等级字段。</t>
        </is>
      </c>
      <c r="W7" s="15" t="inlineStr">
        <is>
          <t>cost = 75 × 5e+01；解锁持有数=5。</t>
        </is>
      </c>
    </row>
    <row r="8" ht="36" customHeight="1">
      <c r="A8" s="15" t="inlineStr">
        <is>
          <t>prod_coal_03</t>
        </is>
      </c>
      <c r="B8" s="15" t="inlineStr">
        <is>
          <t>煤矿·机械化</t>
        </is>
      </c>
      <c r="C8" s="31" t="inlineStr">
        <is>
          <t>矿物产能</t>
        </is>
      </c>
      <c r="D8" s="15" t="inlineStr">
        <is>
          <t>coal</t>
        </is>
      </c>
      <c r="E8" s="15" t="n">
        <v>3</v>
      </c>
      <c r="F8" s="15" t="inlineStr">
        <is>
          <t>prod_coal_02</t>
        </is>
      </c>
      <c r="G8" s="15" t="inlineStr"/>
      <c r="H8" s="15" t="inlineStr">
        <is>
          <t>coal_owned ≥ 25</t>
        </is>
      </c>
      <c r="I8" s="15" t="inlineStr">
        <is>
          <t>金币</t>
        </is>
      </c>
      <c r="J8" s="20" t="n">
        <v>37500</v>
      </c>
      <c r="K8" s="15" t="inlineStr">
        <is>
          <t>37.5K</t>
        </is>
      </c>
      <c r="L8" s="32" t="n">
        <v>3.75</v>
      </c>
      <c r="M8" s="15" t="n">
        <v>4</v>
      </c>
      <c r="N8" s="15" t="inlineStr">
        <is>
          <t>BUILDING_CPS_MULT</t>
        </is>
      </c>
      <c r="O8" s="15" t="inlineStr">
        <is>
          <t>coal</t>
        </is>
      </c>
      <c r="P8" s="15" t="inlineStr">
        <is>
          <t>MULTIPLY</t>
        </is>
      </c>
      <c r="Q8" s="15" t="n">
        <v>2</v>
      </c>
      <c r="R8" s="15" t="inlineStr"/>
      <c r="S8" s="15" t="inlineStr">
        <is>
          <t>所有已拥有的煤矿自动建筑产量 ×2；购买后该矿常规升级累计倍率为 ×8。</t>
        </is>
      </c>
      <c r="T8" s="15" t="inlineStr">
        <is>
          <t>本轮核心</t>
        </is>
      </c>
      <c r="U8" s="15" t="b">
        <v>0</v>
      </c>
      <c r="V8" s="15" t="inlineStr">
        <is>
          <t>每一级都是独立按钮（max_rank=1）；不要压成一个可连点等级字段。</t>
        </is>
      </c>
      <c r="W8" s="15" t="inlineStr">
        <is>
          <t>cost = 75 × 5e+02；解锁持有数=25。</t>
        </is>
      </c>
    </row>
    <row r="9" ht="36" customHeight="1">
      <c r="A9" s="15" t="inlineStr">
        <is>
          <t>prod_coal_04</t>
        </is>
      </c>
      <c r="B9" s="15" t="inlineStr">
        <is>
          <t>煤矿·精密钻探</t>
        </is>
      </c>
      <c r="C9" s="31" t="inlineStr">
        <is>
          <t>矿物产能</t>
        </is>
      </c>
      <c r="D9" s="15" t="inlineStr">
        <is>
          <t>coal</t>
        </is>
      </c>
      <c r="E9" s="15" t="n">
        <v>4</v>
      </c>
      <c r="F9" s="15" t="inlineStr">
        <is>
          <t>prod_coal_03</t>
        </is>
      </c>
      <c r="G9" s="15" t="inlineStr"/>
      <c r="H9" s="15" t="inlineStr">
        <is>
          <t>coal_owned ≥ 50</t>
        </is>
      </c>
      <c r="I9" s="15" t="inlineStr">
        <is>
          <t>金币</t>
        </is>
      </c>
      <c r="J9" s="20" t="n">
        <v>3750000</v>
      </c>
      <c r="K9" s="15" t="inlineStr">
        <is>
          <t>3.75M</t>
        </is>
      </c>
      <c r="L9" s="32" t="n">
        <v>3.75</v>
      </c>
      <c r="M9" s="15" t="n">
        <v>6</v>
      </c>
      <c r="N9" s="15" t="inlineStr">
        <is>
          <t>BUILDING_CPS_MULT</t>
        </is>
      </c>
      <c r="O9" s="15" t="inlineStr">
        <is>
          <t>coal</t>
        </is>
      </c>
      <c r="P9" s="15" t="inlineStr">
        <is>
          <t>MULTIPLY</t>
        </is>
      </c>
      <c r="Q9" s="15" t="n">
        <v>2</v>
      </c>
      <c r="R9" s="15" t="inlineStr"/>
      <c r="S9" s="15" t="inlineStr">
        <is>
          <t>所有已拥有的煤矿自动建筑产量 ×2；购买后该矿常规升级累计倍率为 ×16。</t>
        </is>
      </c>
      <c r="T9" s="15" t="inlineStr">
        <is>
          <t>本轮核心</t>
        </is>
      </c>
      <c r="U9" s="15" t="b">
        <v>0</v>
      </c>
      <c r="V9" s="15" t="inlineStr">
        <is>
          <t>每一级都是独立按钮（max_rank=1）；不要压成一个可连点等级字段。</t>
        </is>
      </c>
      <c r="W9" s="15" t="inlineStr">
        <is>
          <t>cost = 75 × 5e+04；解锁持有数=50。</t>
        </is>
      </c>
    </row>
    <row r="10" ht="36" customHeight="1">
      <c r="A10" s="15" t="inlineStr">
        <is>
          <t>prod_coal_05</t>
        </is>
      </c>
      <c r="B10" s="15" t="inlineStr">
        <is>
          <t>煤矿·工业扩建</t>
        </is>
      </c>
      <c r="C10" s="31" t="inlineStr">
        <is>
          <t>矿物产能</t>
        </is>
      </c>
      <c r="D10" s="15" t="inlineStr">
        <is>
          <t>coal</t>
        </is>
      </c>
      <c r="E10" s="15" t="n">
        <v>5</v>
      </c>
      <c r="F10" s="15" t="inlineStr">
        <is>
          <t>prod_coal_04</t>
        </is>
      </c>
      <c r="G10" s="15" t="inlineStr">
        <is>
          <t>meta_deep_mining</t>
        </is>
      </c>
      <c r="H10" s="15" t="inlineStr">
        <is>
          <t>coal_owned ≥ 100</t>
        </is>
      </c>
      <c r="I10" s="15" t="inlineStr">
        <is>
          <t>金币</t>
        </is>
      </c>
      <c r="J10" s="20" t="n">
        <v>375000000</v>
      </c>
      <c r="K10" s="15" t="inlineStr">
        <is>
          <t>375M</t>
        </is>
      </c>
      <c r="L10" s="32" t="n">
        <v>3.75</v>
      </c>
      <c r="M10" s="15" t="n">
        <v>8</v>
      </c>
      <c r="N10" s="15" t="inlineStr">
        <is>
          <t>BUILDING_CPS_MULT</t>
        </is>
      </c>
      <c r="O10" s="15" t="inlineStr">
        <is>
          <t>coal</t>
        </is>
      </c>
      <c r="P10" s="15" t="inlineStr">
        <is>
          <t>MULTIPLY</t>
        </is>
      </c>
      <c r="Q10" s="15" t="n">
        <v>2</v>
      </c>
      <c r="R10" s="15" t="inlineStr"/>
      <c r="S10" s="15" t="inlineStr">
        <is>
          <t>所有已拥有的煤矿自动建筑产量 ×2；购买后该矿常规升级累计倍率为 ×32。</t>
        </is>
      </c>
      <c r="T10" s="15" t="inlineStr">
        <is>
          <t>升华扩展 I</t>
        </is>
      </c>
      <c r="U10" s="15" t="b">
        <v>0</v>
      </c>
      <c r="V10" s="15" t="inlineStr">
        <is>
          <t>每一级都是独立按钮（max_rank=1）；不要压成一个可连点等级字段。</t>
        </is>
      </c>
      <c r="W10" s="15" t="inlineStr">
        <is>
          <t>cost = 75 × 5e+06；解锁持有数=100。</t>
        </is>
      </c>
    </row>
    <row r="11" ht="36" customHeight="1">
      <c r="A11" s="15" t="inlineStr">
        <is>
          <t>prod_coal_06</t>
        </is>
      </c>
      <c r="B11" s="15" t="inlineStr">
        <is>
          <t>煤矿·自动调度</t>
        </is>
      </c>
      <c r="C11" s="31" t="inlineStr">
        <is>
          <t>矿物产能</t>
        </is>
      </c>
      <c r="D11" s="15" t="inlineStr">
        <is>
          <t>coal</t>
        </is>
      </c>
      <c r="E11" s="15" t="n">
        <v>6</v>
      </c>
      <c r="F11" s="15" t="inlineStr">
        <is>
          <t>prod_coal_05</t>
        </is>
      </c>
      <c r="G11" s="15" t="inlineStr">
        <is>
          <t>meta_deep_mining</t>
        </is>
      </c>
      <c r="H11" s="15" t="inlineStr">
        <is>
          <t>coal_owned ≥ 150</t>
        </is>
      </c>
      <c r="I11" s="15" t="inlineStr">
        <is>
          <t>金币</t>
        </is>
      </c>
      <c r="J11" s="20" t="n">
        <v>37500000000</v>
      </c>
      <c r="K11" s="15" t="inlineStr">
        <is>
          <t>37.5B</t>
        </is>
      </c>
      <c r="L11" s="32" t="n">
        <v>3.75</v>
      </c>
      <c r="M11" s="15" t="n">
        <v>10</v>
      </c>
      <c r="N11" s="15" t="inlineStr">
        <is>
          <t>BUILDING_CPS_MULT</t>
        </is>
      </c>
      <c r="O11" s="15" t="inlineStr">
        <is>
          <t>coal</t>
        </is>
      </c>
      <c r="P11" s="15" t="inlineStr">
        <is>
          <t>MULTIPLY</t>
        </is>
      </c>
      <c r="Q11" s="15" t="n">
        <v>2</v>
      </c>
      <c r="R11" s="15" t="inlineStr"/>
      <c r="S11" s="15" t="inlineStr">
        <is>
          <t>所有已拥有的煤矿自动建筑产量 ×2；购买后该矿常规升级累计倍率为 ×64。</t>
        </is>
      </c>
      <c r="T11" s="15" t="inlineStr">
        <is>
          <t>升华扩展 I</t>
        </is>
      </c>
      <c r="U11" s="15" t="b">
        <v>0</v>
      </c>
      <c r="V11" s="15" t="inlineStr">
        <is>
          <t>每一级都是独立按钮（max_rank=1）；不要压成一个可连点等级字段。</t>
        </is>
      </c>
      <c r="W11" s="15" t="inlineStr">
        <is>
          <t>cost = 75 × 5e+08；解锁持有数=150。</t>
        </is>
      </c>
    </row>
    <row r="12" ht="36" customHeight="1">
      <c r="A12" s="15" t="inlineStr">
        <is>
          <t>prod_coal_07</t>
        </is>
      </c>
      <c r="B12" s="15" t="inlineStr">
        <is>
          <t>煤矿·深层网络</t>
        </is>
      </c>
      <c r="C12" s="31" t="inlineStr">
        <is>
          <t>矿物产能</t>
        </is>
      </c>
      <c r="D12" s="15" t="inlineStr">
        <is>
          <t>coal</t>
        </is>
      </c>
      <c r="E12" s="15" t="n">
        <v>7</v>
      </c>
      <c r="F12" s="15" t="inlineStr">
        <is>
          <t>prod_coal_06</t>
        </is>
      </c>
      <c r="G12" s="15" t="inlineStr">
        <is>
          <t>meta_abyssal_mining</t>
        </is>
      </c>
      <c r="H12" s="15" t="inlineStr">
        <is>
          <t>coal_owned ≥ 200</t>
        </is>
      </c>
      <c r="I12" s="15" t="inlineStr">
        <is>
          <t>金币</t>
        </is>
      </c>
      <c r="J12" s="20" t="n">
        <v>37500000000000</v>
      </c>
      <c r="K12" s="15" t="inlineStr">
        <is>
          <t>37.5T</t>
        </is>
      </c>
      <c r="L12" s="32" t="n">
        <v>3.75</v>
      </c>
      <c r="M12" s="15" t="n">
        <v>13</v>
      </c>
      <c r="N12" s="15" t="inlineStr">
        <is>
          <t>BUILDING_CPS_MULT</t>
        </is>
      </c>
      <c r="O12" s="15" t="inlineStr">
        <is>
          <t>coal</t>
        </is>
      </c>
      <c r="P12" s="15" t="inlineStr">
        <is>
          <t>MULTIPLY</t>
        </is>
      </c>
      <c r="Q12" s="15" t="n">
        <v>2</v>
      </c>
      <c r="R12" s="15" t="inlineStr"/>
      <c r="S12" s="15" t="inlineStr">
        <is>
          <t>所有已拥有的煤矿自动建筑产量 ×2；购买后该矿常规升级累计倍率为 ×128。</t>
        </is>
      </c>
      <c r="T12" s="15" t="inlineStr">
        <is>
          <t>大数阶段</t>
        </is>
      </c>
      <c r="U12" s="15" t="b">
        <v>0</v>
      </c>
      <c r="V12" s="15" t="inlineStr">
        <is>
          <t>每一级都是独立按钮（max_rank=1）；不要压成一个可连点等级字段。</t>
        </is>
      </c>
      <c r="W12" s="15" t="inlineStr">
        <is>
          <t>cost = 75 × 5e+11；解锁持有数=200。</t>
        </is>
      </c>
    </row>
    <row r="13" ht="36" customHeight="1">
      <c r="A13" s="15" t="inlineStr">
        <is>
          <t>prod_coal_08</t>
        </is>
      </c>
      <c r="B13" s="15" t="inlineStr">
        <is>
          <t>煤矿·量子提炼</t>
        </is>
      </c>
      <c r="C13" s="31" t="inlineStr">
        <is>
          <t>矿物产能</t>
        </is>
      </c>
      <c r="D13" s="15" t="inlineStr">
        <is>
          <t>coal</t>
        </is>
      </c>
      <c r="E13" s="15" t="n">
        <v>8</v>
      </c>
      <c r="F13" s="15" t="inlineStr">
        <is>
          <t>prod_coal_07</t>
        </is>
      </c>
      <c r="G13" s="15" t="inlineStr">
        <is>
          <t>meta_abyssal_mining</t>
        </is>
      </c>
      <c r="H13" s="15" t="inlineStr">
        <is>
          <t>coal_owned ≥ 250</t>
        </is>
      </c>
      <c r="I13" s="15" t="inlineStr">
        <is>
          <t>金币</t>
        </is>
      </c>
      <c r="J13" s="33" t="n">
        <v>3.75e+16</v>
      </c>
      <c r="K13" s="15" t="inlineStr">
        <is>
          <t>37.5Qa</t>
        </is>
      </c>
      <c r="L13" s="32" t="n">
        <v>3.75</v>
      </c>
      <c r="M13" s="15" t="n">
        <v>16</v>
      </c>
      <c r="N13" s="15" t="inlineStr">
        <is>
          <t>BUILDING_CPS_MULT</t>
        </is>
      </c>
      <c r="O13" s="15" t="inlineStr">
        <is>
          <t>coal</t>
        </is>
      </c>
      <c r="P13" s="15" t="inlineStr">
        <is>
          <t>MULTIPLY</t>
        </is>
      </c>
      <c r="Q13" s="15" t="n">
        <v>2</v>
      </c>
      <c r="R13" s="15" t="inlineStr"/>
      <c r="S13" s="15" t="inlineStr">
        <is>
          <t>所有已拥有的煤矿自动建筑产量 ×2；购买后该矿常规升级累计倍率为 ×256。</t>
        </is>
      </c>
      <c r="T13" s="15" t="inlineStr">
        <is>
          <t>大数阶段</t>
        </is>
      </c>
      <c r="U13" s="15" t="b">
        <v>0</v>
      </c>
      <c r="V13" s="15" t="inlineStr">
        <is>
          <t>每一级都是独立按钮（max_rank=1）；不要压成一个可连点等级字段。</t>
        </is>
      </c>
      <c r="W13" s="15" t="inlineStr">
        <is>
          <t>cost = 75 × 5e+14；解锁持有数=250。</t>
        </is>
      </c>
    </row>
    <row r="14" ht="36" customHeight="1">
      <c r="A14" s="15" t="inlineStr">
        <is>
          <t>prod_coal_09</t>
        </is>
      </c>
      <c r="B14" s="15" t="inlineStr">
        <is>
          <t>煤矿·星核工艺</t>
        </is>
      </c>
      <c r="C14" s="31" t="inlineStr">
        <is>
          <t>矿物产能</t>
        </is>
      </c>
      <c r="D14" s="15" t="inlineStr">
        <is>
          <t>coal</t>
        </is>
      </c>
      <c r="E14" s="15" t="n">
        <v>9</v>
      </c>
      <c r="F14" s="15" t="inlineStr">
        <is>
          <t>prod_coal_08</t>
        </is>
      </c>
      <c r="G14" s="15" t="inlineStr">
        <is>
          <t>meta_abyssal_mining</t>
        </is>
      </c>
      <c r="H14" s="15" t="inlineStr">
        <is>
          <t>coal_owned ≥ 300</t>
        </is>
      </c>
      <c r="I14" s="15" t="inlineStr">
        <is>
          <t>金币</t>
        </is>
      </c>
      <c r="J14" s="33" t="n">
        <v>3.75e+19</v>
      </c>
      <c r="K14" s="15" t="inlineStr">
        <is>
          <t>37.5Qi</t>
        </is>
      </c>
      <c r="L14" s="32" t="n">
        <v>3.75</v>
      </c>
      <c r="M14" s="15" t="n">
        <v>19</v>
      </c>
      <c r="N14" s="15" t="inlineStr">
        <is>
          <t>BUILDING_CPS_MULT</t>
        </is>
      </c>
      <c r="O14" s="15" t="inlineStr">
        <is>
          <t>coal</t>
        </is>
      </c>
      <c r="P14" s="15" t="inlineStr">
        <is>
          <t>MULTIPLY</t>
        </is>
      </c>
      <c r="Q14" s="15" t="n">
        <v>2</v>
      </c>
      <c r="R14" s="15" t="inlineStr"/>
      <c r="S14" s="15" t="inlineStr">
        <is>
          <t>所有已拥有的煤矿自动建筑产量 ×2；购买后该矿常规升级累计倍率为 ×512。</t>
        </is>
      </c>
      <c r="T14" s="15" t="inlineStr">
        <is>
          <t>大数阶段</t>
        </is>
      </c>
      <c r="U14" s="34" t="b">
        <v>1</v>
      </c>
      <c r="V14" s="15" t="inlineStr">
        <is>
          <t>每一级都是独立按钮（max_rank=1）；不要压成一个可连点等级字段。</t>
        </is>
      </c>
      <c r="W14" s="15" t="inlineStr">
        <is>
          <t>cost = 75 × 5e+17；解锁持有数=300。</t>
        </is>
      </c>
    </row>
    <row r="15" ht="36" customHeight="1">
      <c r="A15" s="15" t="inlineStr">
        <is>
          <t>prod_coal_10</t>
        </is>
      </c>
      <c r="B15" s="15" t="inlineStr">
        <is>
          <t>煤矿·维度开采</t>
        </is>
      </c>
      <c r="C15" s="31" t="inlineStr">
        <is>
          <t>矿物产能</t>
        </is>
      </c>
      <c r="D15" s="15" t="inlineStr">
        <is>
          <t>coal</t>
        </is>
      </c>
      <c r="E15" s="15" t="n">
        <v>10</v>
      </c>
      <c r="F15" s="15" t="inlineStr">
        <is>
          <t>prod_coal_09</t>
        </is>
      </c>
      <c r="G15" s="15" t="inlineStr">
        <is>
          <t>meta_abyssal_mining</t>
        </is>
      </c>
      <c r="H15" s="15" t="inlineStr">
        <is>
          <t>coal_owned ≥ 350</t>
        </is>
      </c>
      <c r="I15" s="15" t="inlineStr">
        <is>
          <t>金币</t>
        </is>
      </c>
      <c r="J15" s="33" t="n">
        <v>3.75e+22</v>
      </c>
      <c r="K15" s="15" t="inlineStr">
        <is>
          <t>3.750e+22</t>
        </is>
      </c>
      <c r="L15" s="32" t="n">
        <v>3.75</v>
      </c>
      <c r="M15" s="15" t="n">
        <v>22</v>
      </c>
      <c r="N15" s="15" t="inlineStr">
        <is>
          <t>BUILDING_CPS_MULT</t>
        </is>
      </c>
      <c r="O15" s="15" t="inlineStr">
        <is>
          <t>coal</t>
        </is>
      </c>
      <c r="P15" s="15" t="inlineStr">
        <is>
          <t>MULTIPLY</t>
        </is>
      </c>
      <c r="Q15" s="15" t="n">
        <v>2</v>
      </c>
      <c r="R15" s="15" t="inlineStr"/>
      <c r="S15" s="15" t="inlineStr">
        <is>
          <t>所有已拥有的煤矿自动建筑产量 ×2；购买后该矿常规升级累计倍率为 ×1,024。</t>
        </is>
      </c>
      <c r="T15" s="15" t="inlineStr">
        <is>
          <t>大数阶段</t>
        </is>
      </c>
      <c r="U15" s="34" t="b">
        <v>1</v>
      </c>
      <c r="V15" s="15" t="inlineStr">
        <is>
          <t>每一级都是独立按钮（max_rank=1）；不要压成一个可连点等级字段。</t>
        </is>
      </c>
      <c r="W15" s="15" t="inlineStr">
        <is>
          <t>cost = 75 × 5e+20；解锁持有数=350。</t>
        </is>
      </c>
    </row>
    <row r="16" ht="36" customHeight="1">
      <c r="A16" s="15" t="inlineStr">
        <is>
          <t>prod_coal_11</t>
        </is>
      </c>
      <c r="B16" s="15" t="inlineStr">
        <is>
          <t>煤矿·时间压缩</t>
        </is>
      </c>
      <c r="C16" s="31" t="inlineStr">
        <is>
          <t>矿物产能</t>
        </is>
      </c>
      <c r="D16" s="15" t="inlineStr">
        <is>
          <t>coal</t>
        </is>
      </c>
      <c r="E16" s="15" t="n">
        <v>11</v>
      </c>
      <c r="F16" s="15" t="inlineStr">
        <is>
          <t>prod_coal_10</t>
        </is>
      </c>
      <c r="G16" s="15" t="inlineStr">
        <is>
          <t>meta_endless_mining</t>
        </is>
      </c>
      <c r="H16" s="15" t="inlineStr">
        <is>
          <t>coal_owned ≥ 400</t>
        </is>
      </c>
      <c r="I16" s="15" t="inlineStr">
        <is>
          <t>金币</t>
        </is>
      </c>
      <c r="J16" s="33" t="n">
        <v>3.75e+26</v>
      </c>
      <c r="K16" s="15" t="inlineStr">
        <is>
          <t>3.750e+26</t>
        </is>
      </c>
      <c r="L16" s="32" t="n">
        <v>3.75</v>
      </c>
      <c r="M16" s="15" t="n">
        <v>26</v>
      </c>
      <c r="N16" s="15" t="inlineStr">
        <is>
          <t>BUILDING_CPS_MULT</t>
        </is>
      </c>
      <c r="O16" s="15" t="inlineStr">
        <is>
          <t>coal</t>
        </is>
      </c>
      <c r="P16" s="15" t="inlineStr">
        <is>
          <t>MULTIPLY</t>
        </is>
      </c>
      <c r="Q16" s="15" t="n">
        <v>2</v>
      </c>
      <c r="R16" s="15" t="inlineStr"/>
      <c r="S16" s="15" t="inlineStr">
        <is>
          <t>所有已拥有的煤矿自动建筑产量 ×2；购买后该矿常规升级累计倍率为 ×2,048。</t>
        </is>
      </c>
      <c r="T16" s="15" t="inlineStr">
        <is>
          <t>终局阶段</t>
        </is>
      </c>
      <c r="U16" s="34" t="b">
        <v>1</v>
      </c>
      <c r="V16" s="15" t="inlineStr">
        <is>
          <t>每一级都是独立按钮（max_rank=1）；不要压成一个可连点等级字段。</t>
        </is>
      </c>
      <c r="W16" s="15" t="inlineStr">
        <is>
          <t>cost = 75 × 5e+24；解锁持有数=400。</t>
        </is>
      </c>
    </row>
    <row r="17" ht="36" customHeight="1">
      <c r="A17" s="15" t="inlineStr">
        <is>
          <t>prod_coal_12</t>
        </is>
      </c>
      <c r="B17" s="15" t="inlineStr">
        <is>
          <t>煤矿·因果矿脉</t>
        </is>
      </c>
      <c r="C17" s="31" t="inlineStr">
        <is>
          <t>矿物产能</t>
        </is>
      </c>
      <c r="D17" s="15" t="inlineStr">
        <is>
          <t>coal</t>
        </is>
      </c>
      <c r="E17" s="15" t="n">
        <v>12</v>
      </c>
      <c r="F17" s="15" t="inlineStr">
        <is>
          <t>prod_coal_11</t>
        </is>
      </c>
      <c r="G17" s="15" t="inlineStr">
        <is>
          <t>meta_endless_mining</t>
        </is>
      </c>
      <c r="H17" s="15" t="inlineStr">
        <is>
          <t>coal_owned ≥ 450</t>
        </is>
      </c>
      <c r="I17" s="15" t="inlineStr">
        <is>
          <t>金币</t>
        </is>
      </c>
      <c r="J17" s="33" t="n">
        <v>3.75e+30</v>
      </c>
      <c r="K17" s="15" t="inlineStr">
        <is>
          <t>3.750e+30</t>
        </is>
      </c>
      <c r="L17" s="32" t="n">
        <v>3.75</v>
      </c>
      <c r="M17" s="15" t="n">
        <v>30</v>
      </c>
      <c r="N17" s="15" t="inlineStr">
        <is>
          <t>BUILDING_CPS_MULT</t>
        </is>
      </c>
      <c r="O17" s="15" t="inlineStr">
        <is>
          <t>coal</t>
        </is>
      </c>
      <c r="P17" s="15" t="inlineStr">
        <is>
          <t>MULTIPLY</t>
        </is>
      </c>
      <c r="Q17" s="15" t="n">
        <v>2</v>
      </c>
      <c r="R17" s="15" t="inlineStr"/>
      <c r="S17" s="15" t="inlineStr">
        <is>
          <t>所有已拥有的煤矿自动建筑产量 ×2；购买后该矿常规升级累计倍率为 ×4,096。</t>
        </is>
      </c>
      <c r="T17" s="15" t="inlineStr">
        <is>
          <t>终局阶段</t>
        </is>
      </c>
      <c r="U17" s="34" t="b">
        <v>1</v>
      </c>
      <c r="V17" s="15" t="inlineStr">
        <is>
          <t>每一级都是独立按钮（max_rank=1）；不要压成一个可连点等级字段。</t>
        </is>
      </c>
      <c r="W17" s="15" t="inlineStr">
        <is>
          <t>cost = 75 × 5e+28；解锁持有数=450。</t>
        </is>
      </c>
    </row>
    <row r="18" ht="36" customHeight="1">
      <c r="A18" s="15" t="inlineStr">
        <is>
          <t>prod_coal_13</t>
        </is>
      </c>
      <c r="B18" s="15" t="inlineStr">
        <is>
          <t>煤矿·无限矿区</t>
        </is>
      </c>
      <c r="C18" s="31" t="inlineStr">
        <is>
          <t>矿物产能</t>
        </is>
      </c>
      <c r="D18" s="15" t="inlineStr">
        <is>
          <t>coal</t>
        </is>
      </c>
      <c r="E18" s="15" t="n">
        <v>13</v>
      </c>
      <c r="F18" s="15" t="inlineStr">
        <is>
          <t>prod_coal_12</t>
        </is>
      </c>
      <c r="G18" s="15" t="inlineStr">
        <is>
          <t>meta_endless_mining</t>
        </is>
      </c>
      <c r="H18" s="15" t="inlineStr">
        <is>
          <t>coal_owned ≥ 500</t>
        </is>
      </c>
      <c r="I18" s="15" t="inlineStr">
        <is>
          <t>金币</t>
        </is>
      </c>
      <c r="J18" s="33" t="n">
        <v>3.75e+34</v>
      </c>
      <c r="K18" s="15" t="inlineStr">
        <is>
          <t>3.750e+34</t>
        </is>
      </c>
      <c r="L18" s="32" t="n">
        <v>3.75</v>
      </c>
      <c r="M18" s="15" t="n">
        <v>34</v>
      </c>
      <c r="N18" s="15" t="inlineStr">
        <is>
          <t>BUILDING_CPS_MULT</t>
        </is>
      </c>
      <c r="O18" s="15" t="inlineStr">
        <is>
          <t>coal</t>
        </is>
      </c>
      <c r="P18" s="15" t="inlineStr">
        <is>
          <t>MULTIPLY</t>
        </is>
      </c>
      <c r="Q18" s="15" t="n">
        <v>2</v>
      </c>
      <c r="R18" s="15" t="inlineStr"/>
      <c r="S18" s="15" t="inlineStr">
        <is>
          <t>所有已拥有的煤矿自动建筑产量 ×2；购买后该矿常规升级累计倍率为 ×8,192。</t>
        </is>
      </c>
      <c r="T18" s="15" t="inlineStr">
        <is>
          <t>终局阶段</t>
        </is>
      </c>
      <c r="U18" s="34" t="b">
        <v>1</v>
      </c>
      <c r="V18" s="15" t="inlineStr">
        <is>
          <t>每一级都是独立按钮（max_rank=1）；不要压成一个可连点等级字段。</t>
        </is>
      </c>
      <c r="W18" s="15" t="inlineStr">
        <is>
          <t>cost = 75 × 5e+32；解锁持有数=500。</t>
        </is>
      </c>
    </row>
    <row r="19" ht="36" customHeight="1">
      <c r="A19" s="15" t="inlineStr">
        <is>
          <t>prod_coal_14</t>
        </is>
      </c>
      <c r="B19" s="15" t="inlineStr">
        <is>
          <t>煤矿·概念提炼</t>
        </is>
      </c>
      <c r="C19" s="31" t="inlineStr">
        <is>
          <t>矿物产能</t>
        </is>
      </c>
      <c r="D19" s="15" t="inlineStr">
        <is>
          <t>coal</t>
        </is>
      </c>
      <c r="E19" s="15" t="n">
        <v>14</v>
      </c>
      <c r="F19" s="15" t="inlineStr">
        <is>
          <t>prod_coal_13</t>
        </is>
      </c>
      <c r="G19" s="15" t="inlineStr">
        <is>
          <t>meta_endless_mining</t>
        </is>
      </c>
      <c r="H19" s="15" t="inlineStr">
        <is>
          <t>coal_owned ≥ 550</t>
        </is>
      </c>
      <c r="I19" s="15" t="inlineStr">
        <is>
          <t>金币</t>
        </is>
      </c>
      <c r="J19" s="33" t="n">
        <v>3.75e+38</v>
      </c>
      <c r="K19" s="15" t="inlineStr">
        <is>
          <t>3.750e+38</t>
        </is>
      </c>
      <c r="L19" s="32" t="n">
        <v>3.75</v>
      </c>
      <c r="M19" s="15" t="n">
        <v>38</v>
      </c>
      <c r="N19" s="15" t="inlineStr">
        <is>
          <t>BUILDING_CPS_MULT</t>
        </is>
      </c>
      <c r="O19" s="15" t="inlineStr">
        <is>
          <t>coal</t>
        </is>
      </c>
      <c r="P19" s="15" t="inlineStr">
        <is>
          <t>MULTIPLY</t>
        </is>
      </c>
      <c r="Q19" s="15" t="n">
        <v>2</v>
      </c>
      <c r="R19" s="15" t="inlineStr"/>
      <c r="S19" s="15" t="inlineStr">
        <is>
          <t>所有已拥有的煤矿自动建筑产量 ×2；购买后该矿常规升级累计倍率为 ×16,384。</t>
        </is>
      </c>
      <c r="T19" s="15" t="inlineStr">
        <is>
          <t>终局阶段</t>
        </is>
      </c>
      <c r="U19" s="34" t="b">
        <v>1</v>
      </c>
      <c r="V19" s="15" t="inlineStr">
        <is>
          <t>每一级都是独立按钮（max_rank=1）；不要压成一个可连点等级字段。</t>
        </is>
      </c>
      <c r="W19" s="15" t="inlineStr">
        <is>
          <t>cost = 75 × 5e+36；解锁持有数=550。</t>
        </is>
      </c>
    </row>
    <row r="20" ht="36" customHeight="1">
      <c r="A20" s="15" t="inlineStr">
        <is>
          <t>prod_coal_15</t>
        </is>
      </c>
      <c r="B20" s="15" t="inlineStr">
        <is>
          <t>煤矿·终极产能</t>
        </is>
      </c>
      <c r="C20" s="31" t="inlineStr">
        <is>
          <t>矿物产能</t>
        </is>
      </c>
      <c r="D20" s="15" t="inlineStr">
        <is>
          <t>coal</t>
        </is>
      </c>
      <c r="E20" s="15" t="n">
        <v>15</v>
      </c>
      <c r="F20" s="15" t="inlineStr">
        <is>
          <t>prod_coal_14</t>
        </is>
      </c>
      <c r="G20" s="15" t="inlineStr">
        <is>
          <t>meta_endless_mining</t>
        </is>
      </c>
      <c r="H20" s="15" t="inlineStr">
        <is>
          <t>coal_owned ≥ 600</t>
        </is>
      </c>
      <c r="I20" s="15" t="inlineStr">
        <is>
          <t>金币</t>
        </is>
      </c>
      <c r="J20" s="33" t="n">
        <v>3.75e+42</v>
      </c>
      <c r="K20" s="15" t="inlineStr">
        <is>
          <t>3.750e+42</t>
        </is>
      </c>
      <c r="L20" s="32" t="n">
        <v>3.75</v>
      </c>
      <c r="M20" s="15" t="n">
        <v>42</v>
      </c>
      <c r="N20" s="15" t="inlineStr">
        <is>
          <t>BUILDING_CPS_MULT</t>
        </is>
      </c>
      <c r="O20" s="15" t="inlineStr">
        <is>
          <t>coal</t>
        </is>
      </c>
      <c r="P20" s="15" t="inlineStr">
        <is>
          <t>MULTIPLY</t>
        </is>
      </c>
      <c r="Q20" s="15" t="n">
        <v>2</v>
      </c>
      <c r="R20" s="15" t="inlineStr"/>
      <c r="S20" s="15" t="inlineStr">
        <is>
          <t>所有已拥有的煤矿自动建筑产量 ×2；购买后该矿常规升级累计倍率为 ×32,768。</t>
        </is>
      </c>
      <c r="T20" s="15" t="inlineStr">
        <is>
          <t>终局阶段</t>
        </is>
      </c>
      <c r="U20" s="34" t="b">
        <v>1</v>
      </c>
      <c r="V20" s="15" t="inlineStr">
        <is>
          <t>每一级都是独立按钮（max_rank=1）；不要压成一个可连点等级字段。</t>
        </is>
      </c>
      <c r="W20" s="15" t="inlineStr">
        <is>
          <t>cost = 75 × 5e+40；解锁持有数=600。</t>
        </is>
      </c>
    </row>
    <row r="21" ht="36" customHeight="1">
      <c r="A21" s="15" t="inlineStr">
        <is>
          <t>unlock_iron</t>
        </is>
      </c>
      <c r="B21" s="15" t="inlineStr">
        <is>
          <t>解锁·铁矿</t>
        </is>
      </c>
      <c r="C21" s="31" t="inlineStr">
        <is>
          <t>矿物解锁</t>
        </is>
      </c>
      <c r="D21" s="15" t="inlineStr">
        <is>
          <t>iron</t>
        </is>
      </c>
      <c r="E21" s="15" t="inlineStr">
        <is>
          <t>Unlock</t>
        </is>
      </c>
      <c r="F21" s="15" t="inlineStr">
        <is>
          <t>unlock_coal</t>
        </is>
      </c>
      <c r="G21" s="15" t="inlineStr"/>
      <c r="H21" s="15" t="inlineStr">
        <is>
          <t>coal_owned ≥ 10</t>
        </is>
      </c>
      <c r="I21" s="15" t="inlineStr">
        <is>
          <t>金币</t>
        </is>
      </c>
      <c r="J21" s="20" t="n">
        <v>250</v>
      </c>
      <c r="K21" s="15" t="inlineStr">
        <is>
          <t>250</t>
        </is>
      </c>
      <c r="L21" s="32" t="n">
        <v>2.5</v>
      </c>
      <c r="M21" s="15" t="n">
        <v>2</v>
      </c>
      <c r="N21" s="15" t="inlineStr">
        <is>
          <t>UNLOCK_PRODUCER_AND_ORE</t>
        </is>
      </c>
      <c r="O21" s="15" t="inlineStr">
        <is>
          <t>iron</t>
        </is>
      </c>
      <c r="P21" s="15" t="inlineStr">
        <is>
          <t>UNLOCK</t>
        </is>
      </c>
      <c r="Q21" s="15" t="n">
        <v>1</v>
      </c>
      <c r="R21" s="15" t="inlineStr"/>
      <c r="S21" s="15" t="inlineStr">
        <is>
          <t>解锁铁矿自动建筑商店，并允许实体 iron 进入自然落矿池；该实体矿的Lv1~3同时允许。</t>
        </is>
      </c>
      <c r="T21" s="15" t="inlineStr">
        <is>
          <t>本轮核心</t>
        </is>
      </c>
      <c r="U21" s="15" t="b">
        <v>0</v>
      </c>
      <c r="V21" s="15" t="inlineStr">
        <is>
          <t>当前DefDb会加载全部矿物；V3必须在建筑商店与roll_ore两处同时校验。</t>
        </is>
      </c>
      <c r="W21" s="15" t="inlineStr">
        <is>
          <t>Coal免费；其余解锁成本严格等于该矿BasePrice×0.5，不再做有效数字取整。</t>
        </is>
      </c>
    </row>
    <row r="22" ht="36" customHeight="1">
      <c r="A22" s="15" t="inlineStr">
        <is>
          <t>prod_iron_01</t>
        </is>
      </c>
      <c r="B22" s="15" t="inlineStr">
        <is>
          <t>铁矿·基础工具</t>
        </is>
      </c>
      <c r="C22" s="31" t="inlineStr">
        <is>
          <t>矿物产能</t>
        </is>
      </c>
      <c r="D22" s="15" t="inlineStr">
        <is>
          <t>iron</t>
        </is>
      </c>
      <c r="E22" s="15" t="n">
        <v>1</v>
      </c>
      <c r="F22" s="15" t="inlineStr">
        <is>
          <t>unlock_iron</t>
        </is>
      </c>
      <c r="G22" s="15" t="inlineStr"/>
      <c r="H22" s="15" t="inlineStr">
        <is>
          <t>iron_owned ≥ 1</t>
        </is>
      </c>
      <c r="I22" s="15" t="inlineStr">
        <is>
          <t>金币</t>
        </is>
      </c>
      <c r="J22" s="20" t="n">
        <v>5000</v>
      </c>
      <c r="K22" s="15" t="inlineStr">
        <is>
          <t>5K</t>
        </is>
      </c>
      <c r="L22" s="32" t="n">
        <v>5</v>
      </c>
      <c r="M22" s="15" t="n">
        <v>3</v>
      </c>
      <c r="N22" s="15" t="inlineStr">
        <is>
          <t>BUILDING_CPS_MULT</t>
        </is>
      </c>
      <c r="O22" s="15" t="inlineStr">
        <is>
          <t>iron</t>
        </is>
      </c>
      <c r="P22" s="15" t="inlineStr">
        <is>
          <t>MULTIPLY</t>
        </is>
      </c>
      <c r="Q22" s="15" t="n">
        <v>2</v>
      </c>
      <c r="R22" s="15" t="inlineStr"/>
      <c r="S22" s="15" t="inlineStr">
        <is>
          <t>所有已拥有的铁矿自动建筑产量 ×2；购买后该矿常规升级累计倍率为 ×2。</t>
        </is>
      </c>
      <c r="T22" s="15" t="inlineStr">
        <is>
          <t>本轮核心</t>
        </is>
      </c>
      <c r="U22" s="15" t="b">
        <v>0</v>
      </c>
      <c r="V22" s="15" t="inlineStr">
        <is>
          <t>每一级都是独立按钮（max_rank=1）；不要压成一个可连点等级字段。</t>
        </is>
      </c>
      <c r="W22" s="15" t="inlineStr">
        <is>
          <t>cost = 500 × 1e+01；解锁持有数=1。</t>
        </is>
      </c>
    </row>
    <row r="23" ht="36" customHeight="1">
      <c r="A23" s="15" t="inlineStr">
        <is>
          <t>prod_iron_02</t>
        </is>
      </c>
      <c r="B23" s="15" t="inlineStr">
        <is>
          <t>铁矿·标准流程</t>
        </is>
      </c>
      <c r="C23" s="31" t="inlineStr">
        <is>
          <t>矿物产能</t>
        </is>
      </c>
      <c r="D23" s="15" t="inlineStr">
        <is>
          <t>iron</t>
        </is>
      </c>
      <c r="E23" s="15" t="n">
        <v>2</v>
      </c>
      <c r="F23" s="15" t="inlineStr">
        <is>
          <t>prod_iron_01</t>
        </is>
      </c>
      <c r="G23" s="15" t="inlineStr"/>
      <c r="H23" s="15" t="inlineStr">
        <is>
          <t>iron_owned ≥ 5</t>
        </is>
      </c>
      <c r="I23" s="15" t="inlineStr">
        <is>
          <t>金币</t>
        </is>
      </c>
      <c r="J23" s="20" t="n">
        <v>25000</v>
      </c>
      <c r="K23" s="15" t="inlineStr">
        <is>
          <t>25K</t>
        </is>
      </c>
      <c r="L23" s="32" t="n">
        <v>2.5</v>
      </c>
      <c r="M23" s="15" t="n">
        <v>4</v>
      </c>
      <c r="N23" s="15" t="inlineStr">
        <is>
          <t>BUILDING_CPS_MULT</t>
        </is>
      </c>
      <c r="O23" s="15" t="inlineStr">
        <is>
          <t>iron</t>
        </is>
      </c>
      <c r="P23" s="15" t="inlineStr">
        <is>
          <t>MULTIPLY</t>
        </is>
      </c>
      <c r="Q23" s="15" t="n">
        <v>2</v>
      </c>
      <c r="R23" s="15" t="inlineStr"/>
      <c r="S23" s="15" t="inlineStr">
        <is>
          <t>所有已拥有的铁矿自动建筑产量 ×2；购买后该矿常规升级累计倍率为 ×4。</t>
        </is>
      </c>
      <c r="T23" s="15" t="inlineStr">
        <is>
          <t>本轮核心</t>
        </is>
      </c>
      <c r="U23" s="15" t="b">
        <v>0</v>
      </c>
      <c r="V23" s="15" t="inlineStr">
        <is>
          <t>每一级都是独立按钮（max_rank=1）；不要压成一个可连点等级字段。</t>
        </is>
      </c>
      <c r="W23" s="15" t="inlineStr">
        <is>
          <t>cost = 500 × 5e+01；解锁持有数=5。</t>
        </is>
      </c>
    </row>
    <row r="24" ht="36" customHeight="1">
      <c r="A24" s="15" t="inlineStr">
        <is>
          <t>prod_iron_03</t>
        </is>
      </c>
      <c r="B24" s="15" t="inlineStr">
        <is>
          <t>铁矿·机械化</t>
        </is>
      </c>
      <c r="C24" s="31" t="inlineStr">
        <is>
          <t>矿物产能</t>
        </is>
      </c>
      <c r="D24" s="15" t="inlineStr">
        <is>
          <t>iron</t>
        </is>
      </c>
      <c r="E24" s="15" t="n">
        <v>3</v>
      </c>
      <c r="F24" s="15" t="inlineStr">
        <is>
          <t>prod_iron_02</t>
        </is>
      </c>
      <c r="G24" s="15" t="inlineStr"/>
      <c r="H24" s="15" t="inlineStr">
        <is>
          <t>iron_owned ≥ 25</t>
        </is>
      </c>
      <c r="I24" s="15" t="inlineStr">
        <is>
          <t>金币</t>
        </is>
      </c>
      <c r="J24" s="20" t="n">
        <v>250000</v>
      </c>
      <c r="K24" s="15" t="inlineStr">
        <is>
          <t>250K</t>
        </is>
      </c>
      <c r="L24" s="32" t="n">
        <v>2.5</v>
      </c>
      <c r="M24" s="15" t="n">
        <v>5</v>
      </c>
      <c r="N24" s="15" t="inlineStr">
        <is>
          <t>BUILDING_CPS_MULT</t>
        </is>
      </c>
      <c r="O24" s="15" t="inlineStr">
        <is>
          <t>iron</t>
        </is>
      </c>
      <c r="P24" s="15" t="inlineStr">
        <is>
          <t>MULTIPLY</t>
        </is>
      </c>
      <c r="Q24" s="15" t="n">
        <v>2</v>
      </c>
      <c r="R24" s="15" t="inlineStr"/>
      <c r="S24" s="15" t="inlineStr">
        <is>
          <t>所有已拥有的铁矿自动建筑产量 ×2；购买后该矿常规升级累计倍率为 ×8。</t>
        </is>
      </c>
      <c r="T24" s="15" t="inlineStr">
        <is>
          <t>本轮核心</t>
        </is>
      </c>
      <c r="U24" s="15" t="b">
        <v>0</v>
      </c>
      <c r="V24" s="15" t="inlineStr">
        <is>
          <t>每一级都是独立按钮（max_rank=1）；不要压成一个可连点等级字段。</t>
        </is>
      </c>
      <c r="W24" s="15" t="inlineStr">
        <is>
          <t>cost = 500 × 5e+02；解锁持有数=25。</t>
        </is>
      </c>
    </row>
    <row r="25" ht="36" customHeight="1">
      <c r="A25" s="15" t="inlineStr">
        <is>
          <t>prod_iron_04</t>
        </is>
      </c>
      <c r="B25" s="15" t="inlineStr">
        <is>
          <t>铁矿·精密钻探</t>
        </is>
      </c>
      <c r="C25" s="31" t="inlineStr">
        <is>
          <t>矿物产能</t>
        </is>
      </c>
      <c r="D25" s="15" t="inlineStr">
        <is>
          <t>iron</t>
        </is>
      </c>
      <c r="E25" s="15" t="n">
        <v>4</v>
      </c>
      <c r="F25" s="15" t="inlineStr">
        <is>
          <t>prod_iron_03</t>
        </is>
      </c>
      <c r="G25" s="15" t="inlineStr"/>
      <c r="H25" s="15" t="inlineStr">
        <is>
          <t>iron_owned ≥ 50</t>
        </is>
      </c>
      <c r="I25" s="15" t="inlineStr">
        <is>
          <t>金币</t>
        </is>
      </c>
      <c r="J25" s="20" t="n">
        <v>25000000</v>
      </c>
      <c r="K25" s="15" t="inlineStr">
        <is>
          <t>25M</t>
        </is>
      </c>
      <c r="L25" s="32" t="n">
        <v>2.5</v>
      </c>
      <c r="M25" s="15" t="n">
        <v>7</v>
      </c>
      <c r="N25" s="15" t="inlineStr">
        <is>
          <t>BUILDING_CPS_MULT</t>
        </is>
      </c>
      <c r="O25" s="15" t="inlineStr">
        <is>
          <t>iron</t>
        </is>
      </c>
      <c r="P25" s="15" t="inlineStr">
        <is>
          <t>MULTIPLY</t>
        </is>
      </c>
      <c r="Q25" s="15" t="n">
        <v>2</v>
      </c>
      <c r="R25" s="15" t="inlineStr"/>
      <c r="S25" s="15" t="inlineStr">
        <is>
          <t>所有已拥有的铁矿自动建筑产量 ×2；购买后该矿常规升级累计倍率为 ×16。</t>
        </is>
      </c>
      <c r="T25" s="15" t="inlineStr">
        <is>
          <t>本轮核心</t>
        </is>
      </c>
      <c r="U25" s="15" t="b">
        <v>0</v>
      </c>
      <c r="V25" s="15" t="inlineStr">
        <is>
          <t>每一级都是独立按钮（max_rank=1）；不要压成一个可连点等级字段。</t>
        </is>
      </c>
      <c r="W25" s="15" t="inlineStr">
        <is>
          <t>cost = 500 × 5e+04；解锁持有数=50。</t>
        </is>
      </c>
    </row>
    <row r="26" ht="36" customHeight="1">
      <c r="A26" s="15" t="inlineStr">
        <is>
          <t>prod_iron_05</t>
        </is>
      </c>
      <c r="B26" s="15" t="inlineStr">
        <is>
          <t>铁矿·工业扩建</t>
        </is>
      </c>
      <c r="C26" s="31" t="inlineStr">
        <is>
          <t>矿物产能</t>
        </is>
      </c>
      <c r="D26" s="15" t="inlineStr">
        <is>
          <t>iron</t>
        </is>
      </c>
      <c r="E26" s="15" t="n">
        <v>5</v>
      </c>
      <c r="F26" s="15" t="inlineStr">
        <is>
          <t>prod_iron_04</t>
        </is>
      </c>
      <c r="G26" s="15" t="inlineStr">
        <is>
          <t>meta_deep_mining</t>
        </is>
      </c>
      <c r="H26" s="15" t="inlineStr">
        <is>
          <t>iron_owned ≥ 100</t>
        </is>
      </c>
      <c r="I26" s="15" t="inlineStr">
        <is>
          <t>金币</t>
        </is>
      </c>
      <c r="J26" s="20" t="n">
        <v>2500000000</v>
      </c>
      <c r="K26" s="15" t="inlineStr">
        <is>
          <t>2.5B</t>
        </is>
      </c>
      <c r="L26" s="32" t="n">
        <v>2.5</v>
      </c>
      <c r="M26" s="15" t="n">
        <v>9</v>
      </c>
      <c r="N26" s="15" t="inlineStr">
        <is>
          <t>BUILDING_CPS_MULT</t>
        </is>
      </c>
      <c r="O26" s="15" t="inlineStr">
        <is>
          <t>iron</t>
        </is>
      </c>
      <c r="P26" s="15" t="inlineStr">
        <is>
          <t>MULTIPLY</t>
        </is>
      </c>
      <c r="Q26" s="15" t="n">
        <v>2</v>
      </c>
      <c r="R26" s="15" t="inlineStr"/>
      <c r="S26" s="15" t="inlineStr">
        <is>
          <t>所有已拥有的铁矿自动建筑产量 ×2；购买后该矿常规升级累计倍率为 ×32。</t>
        </is>
      </c>
      <c r="T26" s="15" t="inlineStr">
        <is>
          <t>升华扩展 I</t>
        </is>
      </c>
      <c r="U26" s="15" t="b">
        <v>0</v>
      </c>
      <c r="V26" s="15" t="inlineStr">
        <is>
          <t>每一级都是独立按钮（max_rank=1）；不要压成一个可连点等级字段。</t>
        </is>
      </c>
      <c r="W26" s="15" t="inlineStr">
        <is>
          <t>cost = 500 × 5e+06；解锁持有数=100。</t>
        </is>
      </c>
    </row>
    <row r="27" ht="36" customHeight="1">
      <c r="A27" s="15" t="inlineStr">
        <is>
          <t>prod_iron_06</t>
        </is>
      </c>
      <c r="B27" s="15" t="inlineStr">
        <is>
          <t>铁矿·自动调度</t>
        </is>
      </c>
      <c r="C27" s="31" t="inlineStr">
        <is>
          <t>矿物产能</t>
        </is>
      </c>
      <c r="D27" s="15" t="inlineStr">
        <is>
          <t>iron</t>
        </is>
      </c>
      <c r="E27" s="15" t="n">
        <v>6</v>
      </c>
      <c r="F27" s="15" t="inlineStr">
        <is>
          <t>prod_iron_05</t>
        </is>
      </c>
      <c r="G27" s="15" t="inlineStr">
        <is>
          <t>meta_deep_mining</t>
        </is>
      </c>
      <c r="H27" s="15" t="inlineStr">
        <is>
          <t>iron_owned ≥ 150</t>
        </is>
      </c>
      <c r="I27" s="15" t="inlineStr">
        <is>
          <t>金币</t>
        </is>
      </c>
      <c r="J27" s="20" t="n">
        <v>250000000000</v>
      </c>
      <c r="K27" s="15" t="inlineStr">
        <is>
          <t>250B</t>
        </is>
      </c>
      <c r="L27" s="32" t="n">
        <v>2.5</v>
      </c>
      <c r="M27" s="15" t="n">
        <v>11</v>
      </c>
      <c r="N27" s="15" t="inlineStr">
        <is>
          <t>BUILDING_CPS_MULT</t>
        </is>
      </c>
      <c r="O27" s="15" t="inlineStr">
        <is>
          <t>iron</t>
        </is>
      </c>
      <c r="P27" s="15" t="inlineStr">
        <is>
          <t>MULTIPLY</t>
        </is>
      </c>
      <c r="Q27" s="15" t="n">
        <v>2</v>
      </c>
      <c r="R27" s="15" t="inlineStr"/>
      <c r="S27" s="15" t="inlineStr">
        <is>
          <t>所有已拥有的铁矿自动建筑产量 ×2；购买后该矿常规升级累计倍率为 ×64。</t>
        </is>
      </c>
      <c r="T27" s="15" t="inlineStr">
        <is>
          <t>升华扩展 I</t>
        </is>
      </c>
      <c r="U27" s="15" t="b">
        <v>0</v>
      </c>
      <c r="V27" s="15" t="inlineStr">
        <is>
          <t>每一级都是独立按钮（max_rank=1）；不要压成一个可连点等级字段。</t>
        </is>
      </c>
      <c r="W27" s="15" t="inlineStr">
        <is>
          <t>cost = 500 × 5e+08；解锁持有数=150。</t>
        </is>
      </c>
    </row>
    <row r="28" ht="36" customHeight="1">
      <c r="A28" s="15" t="inlineStr">
        <is>
          <t>prod_iron_07</t>
        </is>
      </c>
      <c r="B28" s="15" t="inlineStr">
        <is>
          <t>铁矿·深层网络</t>
        </is>
      </c>
      <c r="C28" s="31" t="inlineStr">
        <is>
          <t>矿物产能</t>
        </is>
      </c>
      <c r="D28" s="15" t="inlineStr">
        <is>
          <t>iron</t>
        </is>
      </c>
      <c r="E28" s="15" t="n">
        <v>7</v>
      </c>
      <c r="F28" s="15" t="inlineStr">
        <is>
          <t>prod_iron_06</t>
        </is>
      </c>
      <c r="G28" s="15" t="inlineStr">
        <is>
          <t>meta_abyssal_mining</t>
        </is>
      </c>
      <c r="H28" s="15" t="inlineStr">
        <is>
          <t>iron_owned ≥ 200</t>
        </is>
      </c>
      <c r="I28" s="15" t="inlineStr">
        <is>
          <t>金币</t>
        </is>
      </c>
      <c r="J28" s="20" t="n">
        <v>250000000000000</v>
      </c>
      <c r="K28" s="15" t="inlineStr">
        <is>
          <t>250T</t>
        </is>
      </c>
      <c r="L28" s="32" t="n">
        <v>2.5</v>
      </c>
      <c r="M28" s="15" t="n">
        <v>14</v>
      </c>
      <c r="N28" s="15" t="inlineStr">
        <is>
          <t>BUILDING_CPS_MULT</t>
        </is>
      </c>
      <c r="O28" s="15" t="inlineStr">
        <is>
          <t>iron</t>
        </is>
      </c>
      <c r="P28" s="15" t="inlineStr">
        <is>
          <t>MULTIPLY</t>
        </is>
      </c>
      <c r="Q28" s="15" t="n">
        <v>2</v>
      </c>
      <c r="R28" s="15" t="inlineStr"/>
      <c r="S28" s="15" t="inlineStr">
        <is>
          <t>所有已拥有的铁矿自动建筑产量 ×2；购买后该矿常规升级累计倍率为 ×128。</t>
        </is>
      </c>
      <c r="T28" s="15" t="inlineStr">
        <is>
          <t>大数阶段</t>
        </is>
      </c>
      <c r="U28" s="15" t="b">
        <v>0</v>
      </c>
      <c r="V28" s="15" t="inlineStr">
        <is>
          <t>每一级都是独立按钮（max_rank=1）；不要压成一个可连点等级字段。</t>
        </is>
      </c>
      <c r="W28" s="15" t="inlineStr">
        <is>
          <t>cost = 500 × 5e+11；解锁持有数=200。</t>
        </is>
      </c>
    </row>
    <row r="29" ht="36" customHeight="1">
      <c r="A29" s="15" t="inlineStr">
        <is>
          <t>prod_iron_08</t>
        </is>
      </c>
      <c r="B29" s="15" t="inlineStr">
        <is>
          <t>铁矿·量子提炼</t>
        </is>
      </c>
      <c r="C29" s="31" t="inlineStr">
        <is>
          <t>矿物产能</t>
        </is>
      </c>
      <c r="D29" s="15" t="inlineStr">
        <is>
          <t>iron</t>
        </is>
      </c>
      <c r="E29" s="15" t="n">
        <v>8</v>
      </c>
      <c r="F29" s="15" t="inlineStr">
        <is>
          <t>prod_iron_07</t>
        </is>
      </c>
      <c r="G29" s="15" t="inlineStr">
        <is>
          <t>meta_abyssal_mining</t>
        </is>
      </c>
      <c r="H29" s="15" t="inlineStr">
        <is>
          <t>iron_owned ≥ 250</t>
        </is>
      </c>
      <c r="I29" s="15" t="inlineStr">
        <is>
          <t>金币</t>
        </is>
      </c>
      <c r="J29" s="33" t="n">
        <v>2.5e+17</v>
      </c>
      <c r="K29" s="15" t="inlineStr">
        <is>
          <t>250Qa</t>
        </is>
      </c>
      <c r="L29" s="32" t="n">
        <v>2.5</v>
      </c>
      <c r="M29" s="15" t="n">
        <v>17</v>
      </c>
      <c r="N29" s="15" t="inlineStr">
        <is>
          <t>BUILDING_CPS_MULT</t>
        </is>
      </c>
      <c r="O29" s="15" t="inlineStr">
        <is>
          <t>iron</t>
        </is>
      </c>
      <c r="P29" s="15" t="inlineStr">
        <is>
          <t>MULTIPLY</t>
        </is>
      </c>
      <c r="Q29" s="15" t="n">
        <v>2</v>
      </c>
      <c r="R29" s="15" t="inlineStr"/>
      <c r="S29" s="15" t="inlineStr">
        <is>
          <t>所有已拥有的铁矿自动建筑产量 ×2；购买后该矿常规升级累计倍率为 ×256。</t>
        </is>
      </c>
      <c r="T29" s="15" t="inlineStr">
        <is>
          <t>大数阶段</t>
        </is>
      </c>
      <c r="U29" s="15" t="b">
        <v>0</v>
      </c>
      <c r="V29" s="15" t="inlineStr">
        <is>
          <t>每一级都是独立按钮（max_rank=1）；不要压成一个可连点等级字段。</t>
        </is>
      </c>
      <c r="W29" s="15" t="inlineStr">
        <is>
          <t>cost = 500 × 5e+14；解锁持有数=250。</t>
        </is>
      </c>
    </row>
    <row r="30" ht="36" customHeight="1">
      <c r="A30" s="15" t="inlineStr">
        <is>
          <t>prod_iron_09</t>
        </is>
      </c>
      <c r="B30" s="15" t="inlineStr">
        <is>
          <t>铁矿·星核工艺</t>
        </is>
      </c>
      <c r="C30" s="31" t="inlineStr">
        <is>
          <t>矿物产能</t>
        </is>
      </c>
      <c r="D30" s="15" t="inlineStr">
        <is>
          <t>iron</t>
        </is>
      </c>
      <c r="E30" s="15" t="n">
        <v>9</v>
      </c>
      <c r="F30" s="15" t="inlineStr">
        <is>
          <t>prod_iron_08</t>
        </is>
      </c>
      <c r="G30" s="15" t="inlineStr">
        <is>
          <t>meta_abyssal_mining</t>
        </is>
      </c>
      <c r="H30" s="15" t="inlineStr">
        <is>
          <t>iron_owned ≥ 300</t>
        </is>
      </c>
      <c r="I30" s="15" t="inlineStr">
        <is>
          <t>金币</t>
        </is>
      </c>
      <c r="J30" s="33" t="n">
        <v>2.5e+20</v>
      </c>
      <c r="K30" s="15" t="inlineStr">
        <is>
          <t>250Qi</t>
        </is>
      </c>
      <c r="L30" s="32" t="n">
        <v>2.5</v>
      </c>
      <c r="M30" s="15" t="n">
        <v>20</v>
      </c>
      <c r="N30" s="15" t="inlineStr">
        <is>
          <t>BUILDING_CPS_MULT</t>
        </is>
      </c>
      <c r="O30" s="15" t="inlineStr">
        <is>
          <t>iron</t>
        </is>
      </c>
      <c r="P30" s="15" t="inlineStr">
        <is>
          <t>MULTIPLY</t>
        </is>
      </c>
      <c r="Q30" s="15" t="n">
        <v>2</v>
      </c>
      <c r="R30" s="15" t="inlineStr"/>
      <c r="S30" s="15" t="inlineStr">
        <is>
          <t>所有已拥有的铁矿自动建筑产量 ×2；购买后该矿常规升级累计倍率为 ×512。</t>
        </is>
      </c>
      <c r="T30" s="15" t="inlineStr">
        <is>
          <t>大数阶段</t>
        </is>
      </c>
      <c r="U30" s="34" t="b">
        <v>1</v>
      </c>
      <c r="V30" s="15" t="inlineStr">
        <is>
          <t>每一级都是独立按钮（max_rank=1）；不要压成一个可连点等级字段。</t>
        </is>
      </c>
      <c r="W30" s="15" t="inlineStr">
        <is>
          <t>cost = 500 × 5e+17；解锁持有数=300。</t>
        </is>
      </c>
    </row>
    <row r="31" ht="36" customHeight="1">
      <c r="A31" s="15" t="inlineStr">
        <is>
          <t>prod_iron_10</t>
        </is>
      </c>
      <c r="B31" s="15" t="inlineStr">
        <is>
          <t>铁矿·维度开采</t>
        </is>
      </c>
      <c r="C31" s="31" t="inlineStr">
        <is>
          <t>矿物产能</t>
        </is>
      </c>
      <c r="D31" s="15" t="inlineStr">
        <is>
          <t>iron</t>
        </is>
      </c>
      <c r="E31" s="15" t="n">
        <v>10</v>
      </c>
      <c r="F31" s="15" t="inlineStr">
        <is>
          <t>prod_iron_09</t>
        </is>
      </c>
      <c r="G31" s="15" t="inlineStr">
        <is>
          <t>meta_abyssal_mining</t>
        </is>
      </c>
      <c r="H31" s="15" t="inlineStr">
        <is>
          <t>iron_owned ≥ 350</t>
        </is>
      </c>
      <c r="I31" s="15" t="inlineStr">
        <is>
          <t>金币</t>
        </is>
      </c>
      <c r="J31" s="33" t="n">
        <v>2.5e+23</v>
      </c>
      <c r="K31" s="15" t="inlineStr">
        <is>
          <t>2.500e+23</t>
        </is>
      </c>
      <c r="L31" s="32" t="n">
        <v>2.5</v>
      </c>
      <c r="M31" s="15" t="n">
        <v>23</v>
      </c>
      <c r="N31" s="15" t="inlineStr">
        <is>
          <t>BUILDING_CPS_MULT</t>
        </is>
      </c>
      <c r="O31" s="15" t="inlineStr">
        <is>
          <t>iron</t>
        </is>
      </c>
      <c r="P31" s="15" t="inlineStr">
        <is>
          <t>MULTIPLY</t>
        </is>
      </c>
      <c r="Q31" s="15" t="n">
        <v>2</v>
      </c>
      <c r="R31" s="15" t="inlineStr"/>
      <c r="S31" s="15" t="inlineStr">
        <is>
          <t>所有已拥有的铁矿自动建筑产量 ×2；购买后该矿常规升级累计倍率为 ×1,024。</t>
        </is>
      </c>
      <c r="T31" s="15" t="inlineStr">
        <is>
          <t>大数阶段</t>
        </is>
      </c>
      <c r="U31" s="34" t="b">
        <v>1</v>
      </c>
      <c r="V31" s="15" t="inlineStr">
        <is>
          <t>每一级都是独立按钮（max_rank=1）；不要压成一个可连点等级字段。</t>
        </is>
      </c>
      <c r="W31" s="15" t="inlineStr">
        <is>
          <t>cost = 500 × 5e+20；解锁持有数=350。</t>
        </is>
      </c>
    </row>
    <row r="32" ht="36" customHeight="1">
      <c r="A32" s="15" t="inlineStr">
        <is>
          <t>prod_iron_11</t>
        </is>
      </c>
      <c r="B32" s="15" t="inlineStr">
        <is>
          <t>铁矿·时间压缩</t>
        </is>
      </c>
      <c r="C32" s="31" t="inlineStr">
        <is>
          <t>矿物产能</t>
        </is>
      </c>
      <c r="D32" s="15" t="inlineStr">
        <is>
          <t>iron</t>
        </is>
      </c>
      <c r="E32" s="15" t="n">
        <v>11</v>
      </c>
      <c r="F32" s="15" t="inlineStr">
        <is>
          <t>prod_iron_10</t>
        </is>
      </c>
      <c r="G32" s="15" t="inlineStr">
        <is>
          <t>meta_endless_mining</t>
        </is>
      </c>
      <c r="H32" s="15" t="inlineStr">
        <is>
          <t>iron_owned ≥ 400</t>
        </is>
      </c>
      <c r="I32" s="15" t="inlineStr">
        <is>
          <t>金币</t>
        </is>
      </c>
      <c r="J32" s="33" t="n">
        <v>2.5e+27</v>
      </c>
      <c r="K32" s="15" t="inlineStr">
        <is>
          <t>2.500e+27</t>
        </is>
      </c>
      <c r="L32" s="32" t="n">
        <v>2.5</v>
      </c>
      <c r="M32" s="15" t="n">
        <v>27</v>
      </c>
      <c r="N32" s="15" t="inlineStr">
        <is>
          <t>BUILDING_CPS_MULT</t>
        </is>
      </c>
      <c r="O32" s="15" t="inlineStr">
        <is>
          <t>iron</t>
        </is>
      </c>
      <c r="P32" s="15" t="inlineStr">
        <is>
          <t>MULTIPLY</t>
        </is>
      </c>
      <c r="Q32" s="15" t="n">
        <v>2</v>
      </c>
      <c r="R32" s="15" t="inlineStr"/>
      <c r="S32" s="15" t="inlineStr">
        <is>
          <t>所有已拥有的铁矿自动建筑产量 ×2；购买后该矿常规升级累计倍率为 ×2,048。</t>
        </is>
      </c>
      <c r="T32" s="15" t="inlineStr">
        <is>
          <t>终局阶段</t>
        </is>
      </c>
      <c r="U32" s="34" t="b">
        <v>1</v>
      </c>
      <c r="V32" s="15" t="inlineStr">
        <is>
          <t>每一级都是独立按钮（max_rank=1）；不要压成一个可连点等级字段。</t>
        </is>
      </c>
      <c r="W32" s="15" t="inlineStr">
        <is>
          <t>cost = 500 × 5e+24；解锁持有数=400。</t>
        </is>
      </c>
    </row>
    <row r="33" ht="36" customHeight="1">
      <c r="A33" s="15" t="inlineStr">
        <is>
          <t>prod_iron_12</t>
        </is>
      </c>
      <c r="B33" s="15" t="inlineStr">
        <is>
          <t>铁矿·因果矿脉</t>
        </is>
      </c>
      <c r="C33" s="31" t="inlineStr">
        <is>
          <t>矿物产能</t>
        </is>
      </c>
      <c r="D33" s="15" t="inlineStr">
        <is>
          <t>iron</t>
        </is>
      </c>
      <c r="E33" s="15" t="n">
        <v>12</v>
      </c>
      <c r="F33" s="15" t="inlineStr">
        <is>
          <t>prod_iron_11</t>
        </is>
      </c>
      <c r="G33" s="15" t="inlineStr">
        <is>
          <t>meta_endless_mining</t>
        </is>
      </c>
      <c r="H33" s="15" t="inlineStr">
        <is>
          <t>iron_owned ≥ 450</t>
        </is>
      </c>
      <c r="I33" s="15" t="inlineStr">
        <is>
          <t>金币</t>
        </is>
      </c>
      <c r="J33" s="33" t="n">
        <v>2.5e+31</v>
      </c>
      <c r="K33" s="15" t="inlineStr">
        <is>
          <t>2.500e+31</t>
        </is>
      </c>
      <c r="L33" s="32" t="n">
        <v>2.5</v>
      </c>
      <c r="M33" s="15" t="n">
        <v>31</v>
      </c>
      <c r="N33" s="15" t="inlineStr">
        <is>
          <t>BUILDING_CPS_MULT</t>
        </is>
      </c>
      <c r="O33" s="15" t="inlineStr">
        <is>
          <t>iron</t>
        </is>
      </c>
      <c r="P33" s="15" t="inlineStr">
        <is>
          <t>MULTIPLY</t>
        </is>
      </c>
      <c r="Q33" s="15" t="n">
        <v>2</v>
      </c>
      <c r="R33" s="15" t="inlineStr"/>
      <c r="S33" s="15" t="inlineStr">
        <is>
          <t>所有已拥有的铁矿自动建筑产量 ×2；购买后该矿常规升级累计倍率为 ×4,096。</t>
        </is>
      </c>
      <c r="T33" s="15" t="inlineStr">
        <is>
          <t>终局阶段</t>
        </is>
      </c>
      <c r="U33" s="34" t="b">
        <v>1</v>
      </c>
      <c r="V33" s="15" t="inlineStr">
        <is>
          <t>每一级都是独立按钮（max_rank=1）；不要压成一个可连点等级字段。</t>
        </is>
      </c>
      <c r="W33" s="15" t="inlineStr">
        <is>
          <t>cost = 500 × 5e+28；解锁持有数=450。</t>
        </is>
      </c>
    </row>
    <row r="34" ht="36" customHeight="1">
      <c r="A34" s="15" t="inlineStr">
        <is>
          <t>prod_iron_13</t>
        </is>
      </c>
      <c r="B34" s="15" t="inlineStr">
        <is>
          <t>铁矿·无限矿区</t>
        </is>
      </c>
      <c r="C34" s="31" t="inlineStr">
        <is>
          <t>矿物产能</t>
        </is>
      </c>
      <c r="D34" s="15" t="inlineStr">
        <is>
          <t>iron</t>
        </is>
      </c>
      <c r="E34" s="15" t="n">
        <v>13</v>
      </c>
      <c r="F34" s="15" t="inlineStr">
        <is>
          <t>prod_iron_12</t>
        </is>
      </c>
      <c r="G34" s="15" t="inlineStr">
        <is>
          <t>meta_endless_mining</t>
        </is>
      </c>
      <c r="H34" s="15" t="inlineStr">
        <is>
          <t>iron_owned ≥ 500</t>
        </is>
      </c>
      <c r="I34" s="15" t="inlineStr">
        <is>
          <t>金币</t>
        </is>
      </c>
      <c r="J34" s="33" t="n">
        <v>2.5e+35</v>
      </c>
      <c r="K34" s="15" t="inlineStr">
        <is>
          <t>2.500e+35</t>
        </is>
      </c>
      <c r="L34" s="32" t="n">
        <v>2.5</v>
      </c>
      <c r="M34" s="15" t="n">
        <v>35</v>
      </c>
      <c r="N34" s="15" t="inlineStr">
        <is>
          <t>BUILDING_CPS_MULT</t>
        </is>
      </c>
      <c r="O34" s="15" t="inlineStr">
        <is>
          <t>iron</t>
        </is>
      </c>
      <c r="P34" s="15" t="inlineStr">
        <is>
          <t>MULTIPLY</t>
        </is>
      </c>
      <c r="Q34" s="15" t="n">
        <v>2</v>
      </c>
      <c r="R34" s="15" t="inlineStr"/>
      <c r="S34" s="15" t="inlineStr">
        <is>
          <t>所有已拥有的铁矿自动建筑产量 ×2；购买后该矿常规升级累计倍率为 ×8,192。</t>
        </is>
      </c>
      <c r="T34" s="15" t="inlineStr">
        <is>
          <t>终局阶段</t>
        </is>
      </c>
      <c r="U34" s="34" t="b">
        <v>1</v>
      </c>
      <c r="V34" s="15" t="inlineStr">
        <is>
          <t>每一级都是独立按钮（max_rank=1）；不要压成一个可连点等级字段。</t>
        </is>
      </c>
      <c r="W34" s="15" t="inlineStr">
        <is>
          <t>cost = 500 × 5e+32；解锁持有数=500。</t>
        </is>
      </c>
    </row>
    <row r="35" ht="36" customHeight="1">
      <c r="A35" s="15" t="inlineStr">
        <is>
          <t>prod_iron_14</t>
        </is>
      </c>
      <c r="B35" s="15" t="inlineStr">
        <is>
          <t>铁矿·概念提炼</t>
        </is>
      </c>
      <c r="C35" s="31" t="inlineStr">
        <is>
          <t>矿物产能</t>
        </is>
      </c>
      <c r="D35" s="15" t="inlineStr">
        <is>
          <t>iron</t>
        </is>
      </c>
      <c r="E35" s="15" t="n">
        <v>14</v>
      </c>
      <c r="F35" s="15" t="inlineStr">
        <is>
          <t>prod_iron_13</t>
        </is>
      </c>
      <c r="G35" s="15" t="inlineStr">
        <is>
          <t>meta_endless_mining</t>
        </is>
      </c>
      <c r="H35" s="15" t="inlineStr">
        <is>
          <t>iron_owned ≥ 550</t>
        </is>
      </c>
      <c r="I35" s="15" t="inlineStr">
        <is>
          <t>金币</t>
        </is>
      </c>
      <c r="J35" s="33" t="n">
        <v>2.5e+39</v>
      </c>
      <c r="K35" s="15" t="inlineStr">
        <is>
          <t>2.500e+39</t>
        </is>
      </c>
      <c r="L35" s="32" t="n">
        <v>2.5</v>
      </c>
      <c r="M35" s="15" t="n">
        <v>39</v>
      </c>
      <c r="N35" s="15" t="inlineStr">
        <is>
          <t>BUILDING_CPS_MULT</t>
        </is>
      </c>
      <c r="O35" s="15" t="inlineStr">
        <is>
          <t>iron</t>
        </is>
      </c>
      <c r="P35" s="15" t="inlineStr">
        <is>
          <t>MULTIPLY</t>
        </is>
      </c>
      <c r="Q35" s="15" t="n">
        <v>2</v>
      </c>
      <c r="R35" s="15" t="inlineStr"/>
      <c r="S35" s="15" t="inlineStr">
        <is>
          <t>所有已拥有的铁矿自动建筑产量 ×2；购买后该矿常规升级累计倍率为 ×16,384。</t>
        </is>
      </c>
      <c r="T35" s="15" t="inlineStr">
        <is>
          <t>终局阶段</t>
        </is>
      </c>
      <c r="U35" s="34" t="b">
        <v>1</v>
      </c>
      <c r="V35" s="15" t="inlineStr">
        <is>
          <t>每一级都是独立按钮（max_rank=1）；不要压成一个可连点等级字段。</t>
        </is>
      </c>
      <c r="W35" s="15" t="inlineStr">
        <is>
          <t>cost = 500 × 5e+36；解锁持有数=550。</t>
        </is>
      </c>
    </row>
    <row r="36" ht="36" customHeight="1">
      <c r="A36" s="15" t="inlineStr">
        <is>
          <t>prod_iron_15</t>
        </is>
      </c>
      <c r="B36" s="15" t="inlineStr">
        <is>
          <t>铁矿·终极产能</t>
        </is>
      </c>
      <c r="C36" s="31" t="inlineStr">
        <is>
          <t>矿物产能</t>
        </is>
      </c>
      <c r="D36" s="15" t="inlineStr">
        <is>
          <t>iron</t>
        </is>
      </c>
      <c r="E36" s="15" t="n">
        <v>15</v>
      </c>
      <c r="F36" s="15" t="inlineStr">
        <is>
          <t>prod_iron_14</t>
        </is>
      </c>
      <c r="G36" s="15" t="inlineStr">
        <is>
          <t>meta_endless_mining</t>
        </is>
      </c>
      <c r="H36" s="15" t="inlineStr">
        <is>
          <t>iron_owned ≥ 600</t>
        </is>
      </c>
      <c r="I36" s="15" t="inlineStr">
        <is>
          <t>金币</t>
        </is>
      </c>
      <c r="J36" s="33" t="n">
        <v>2.5e+43</v>
      </c>
      <c r="K36" s="15" t="inlineStr">
        <is>
          <t>2.500e+43</t>
        </is>
      </c>
      <c r="L36" s="32" t="n">
        <v>2.5</v>
      </c>
      <c r="M36" s="15" t="n">
        <v>43</v>
      </c>
      <c r="N36" s="15" t="inlineStr">
        <is>
          <t>BUILDING_CPS_MULT</t>
        </is>
      </c>
      <c r="O36" s="15" t="inlineStr">
        <is>
          <t>iron</t>
        </is>
      </c>
      <c r="P36" s="15" t="inlineStr">
        <is>
          <t>MULTIPLY</t>
        </is>
      </c>
      <c r="Q36" s="15" t="n">
        <v>2</v>
      </c>
      <c r="R36" s="15" t="inlineStr"/>
      <c r="S36" s="15" t="inlineStr">
        <is>
          <t>所有已拥有的铁矿自动建筑产量 ×2；购买后该矿常规升级累计倍率为 ×32,768。</t>
        </is>
      </c>
      <c r="T36" s="15" t="inlineStr">
        <is>
          <t>终局阶段</t>
        </is>
      </c>
      <c r="U36" s="34" t="b">
        <v>1</v>
      </c>
      <c r="V36" s="15" t="inlineStr">
        <is>
          <t>每一级都是独立按钮（max_rank=1）；不要压成一个可连点等级字段。</t>
        </is>
      </c>
      <c r="W36" s="15" t="inlineStr">
        <is>
          <t>cost = 500 × 5e+40；解锁持有数=600。</t>
        </is>
      </c>
    </row>
    <row r="37" ht="36" customHeight="1">
      <c r="A37" s="15" t="inlineStr">
        <is>
          <t>unlock_zinc</t>
        </is>
      </c>
      <c r="B37" s="15" t="inlineStr">
        <is>
          <t>解锁·锌矿</t>
        </is>
      </c>
      <c r="C37" s="31" t="inlineStr">
        <is>
          <t>矿物解锁</t>
        </is>
      </c>
      <c r="D37" s="15" t="inlineStr">
        <is>
          <t>zinc</t>
        </is>
      </c>
      <c r="E37" s="15" t="inlineStr">
        <is>
          <t>Unlock</t>
        </is>
      </c>
      <c r="F37" s="15" t="inlineStr">
        <is>
          <t>unlock_iron</t>
        </is>
      </c>
      <c r="G37" s="15" t="inlineStr"/>
      <c r="H37" s="15" t="inlineStr">
        <is>
          <t>iron_owned ≥ 15</t>
        </is>
      </c>
      <c r="I37" s="15" t="inlineStr">
        <is>
          <t>金币</t>
        </is>
      </c>
      <c r="J37" s="20" t="n">
        <v>2750</v>
      </c>
      <c r="K37" s="15" t="inlineStr">
        <is>
          <t>2.75K</t>
        </is>
      </c>
      <c r="L37" s="32" t="n">
        <v>2.75</v>
      </c>
      <c r="M37" s="15" t="n">
        <v>3</v>
      </c>
      <c r="N37" s="15" t="inlineStr">
        <is>
          <t>UNLOCK_PRODUCER_AND_ORE</t>
        </is>
      </c>
      <c r="O37" s="15" t="inlineStr">
        <is>
          <t>zinc</t>
        </is>
      </c>
      <c r="P37" s="15" t="inlineStr">
        <is>
          <t>UNLOCK</t>
        </is>
      </c>
      <c r="Q37" s="15" t="n">
        <v>1</v>
      </c>
      <c r="R37" s="15" t="inlineStr"/>
      <c r="S37" s="15" t="inlineStr">
        <is>
          <t>解锁锌矿自动建筑商店，并允许实体 zinc 进入自然落矿池；该实体矿的Lv1~3同时允许。</t>
        </is>
      </c>
      <c r="T37" s="15" t="inlineStr">
        <is>
          <t>本轮核心</t>
        </is>
      </c>
      <c r="U37" s="15" t="b">
        <v>0</v>
      </c>
      <c r="V37" s="15" t="inlineStr">
        <is>
          <t>当前DefDb会加载全部矿物；V3必须在建筑商店与roll_ore两处同时校验。</t>
        </is>
      </c>
      <c r="W37" s="15" t="inlineStr">
        <is>
          <t>Coal免费；其余解锁成本严格等于该矿BasePrice×0.5，不再做有效数字取整。</t>
        </is>
      </c>
    </row>
    <row r="38" ht="36" customHeight="1">
      <c r="A38" s="15" t="inlineStr">
        <is>
          <t>prod_zinc_01</t>
        </is>
      </c>
      <c r="B38" s="15" t="inlineStr">
        <is>
          <t>锌矿·基础工具</t>
        </is>
      </c>
      <c r="C38" s="31" t="inlineStr">
        <is>
          <t>矿物产能</t>
        </is>
      </c>
      <c r="D38" s="15" t="inlineStr">
        <is>
          <t>zinc</t>
        </is>
      </c>
      <c r="E38" s="15" t="n">
        <v>1</v>
      </c>
      <c r="F38" s="15" t="inlineStr">
        <is>
          <t>unlock_zinc</t>
        </is>
      </c>
      <c r="G38" s="15" t="inlineStr"/>
      <c r="H38" s="15" t="inlineStr">
        <is>
          <t>zinc_owned ≥ 1</t>
        </is>
      </c>
      <c r="I38" s="15" t="inlineStr">
        <is>
          <t>金币</t>
        </is>
      </c>
      <c r="J38" s="20" t="n">
        <v>55000</v>
      </c>
      <c r="K38" s="15" t="inlineStr">
        <is>
          <t>55K</t>
        </is>
      </c>
      <c r="L38" s="32" t="n">
        <v>5.5</v>
      </c>
      <c r="M38" s="15" t="n">
        <v>4</v>
      </c>
      <c r="N38" s="15" t="inlineStr">
        <is>
          <t>BUILDING_CPS_MULT</t>
        </is>
      </c>
      <c r="O38" s="15" t="inlineStr">
        <is>
          <t>zinc</t>
        </is>
      </c>
      <c r="P38" s="15" t="inlineStr">
        <is>
          <t>MULTIPLY</t>
        </is>
      </c>
      <c r="Q38" s="15" t="n">
        <v>2</v>
      </c>
      <c r="R38" s="15" t="inlineStr"/>
      <c r="S38" s="15" t="inlineStr">
        <is>
          <t>所有已拥有的锌矿自动建筑产量 ×2；购买后该矿常规升级累计倍率为 ×2。</t>
        </is>
      </c>
      <c r="T38" s="15" t="inlineStr">
        <is>
          <t>本轮核心</t>
        </is>
      </c>
      <c r="U38" s="15" t="b">
        <v>0</v>
      </c>
      <c r="V38" s="15" t="inlineStr">
        <is>
          <t>每一级都是独立按钮（max_rank=1）；不要压成一个可连点等级字段。</t>
        </is>
      </c>
      <c r="W38" s="15" t="inlineStr">
        <is>
          <t>cost = 5.5K × 1e+01；解锁持有数=1。</t>
        </is>
      </c>
    </row>
    <row r="39" ht="36" customHeight="1">
      <c r="A39" s="15" t="inlineStr">
        <is>
          <t>prod_zinc_02</t>
        </is>
      </c>
      <c r="B39" s="15" t="inlineStr">
        <is>
          <t>锌矿·标准流程</t>
        </is>
      </c>
      <c r="C39" s="31" t="inlineStr">
        <is>
          <t>矿物产能</t>
        </is>
      </c>
      <c r="D39" s="15" t="inlineStr">
        <is>
          <t>zinc</t>
        </is>
      </c>
      <c r="E39" s="15" t="n">
        <v>2</v>
      </c>
      <c r="F39" s="15" t="inlineStr">
        <is>
          <t>prod_zinc_01</t>
        </is>
      </c>
      <c r="G39" s="15" t="inlineStr"/>
      <c r="H39" s="15" t="inlineStr">
        <is>
          <t>zinc_owned ≥ 5</t>
        </is>
      </c>
      <c r="I39" s="15" t="inlineStr">
        <is>
          <t>金币</t>
        </is>
      </c>
      <c r="J39" s="20" t="n">
        <v>275000</v>
      </c>
      <c r="K39" s="15" t="inlineStr">
        <is>
          <t>275K</t>
        </is>
      </c>
      <c r="L39" s="32" t="n">
        <v>2.75</v>
      </c>
      <c r="M39" s="15" t="n">
        <v>5</v>
      </c>
      <c r="N39" s="15" t="inlineStr">
        <is>
          <t>BUILDING_CPS_MULT</t>
        </is>
      </c>
      <c r="O39" s="15" t="inlineStr">
        <is>
          <t>zinc</t>
        </is>
      </c>
      <c r="P39" s="15" t="inlineStr">
        <is>
          <t>MULTIPLY</t>
        </is>
      </c>
      <c r="Q39" s="15" t="n">
        <v>2</v>
      </c>
      <c r="R39" s="15" t="inlineStr"/>
      <c r="S39" s="15" t="inlineStr">
        <is>
          <t>所有已拥有的锌矿自动建筑产量 ×2；购买后该矿常规升级累计倍率为 ×4。</t>
        </is>
      </c>
      <c r="T39" s="15" t="inlineStr">
        <is>
          <t>本轮核心</t>
        </is>
      </c>
      <c r="U39" s="15" t="b">
        <v>0</v>
      </c>
      <c r="V39" s="15" t="inlineStr">
        <is>
          <t>每一级都是独立按钮（max_rank=1）；不要压成一个可连点等级字段。</t>
        </is>
      </c>
      <c r="W39" s="15" t="inlineStr">
        <is>
          <t>cost = 5.5K × 5e+01；解锁持有数=5。</t>
        </is>
      </c>
    </row>
    <row r="40" ht="36" customHeight="1">
      <c r="A40" s="15" t="inlineStr">
        <is>
          <t>prod_zinc_03</t>
        </is>
      </c>
      <c r="B40" s="15" t="inlineStr">
        <is>
          <t>锌矿·机械化</t>
        </is>
      </c>
      <c r="C40" s="31" t="inlineStr">
        <is>
          <t>矿物产能</t>
        </is>
      </c>
      <c r="D40" s="15" t="inlineStr">
        <is>
          <t>zinc</t>
        </is>
      </c>
      <c r="E40" s="15" t="n">
        <v>3</v>
      </c>
      <c r="F40" s="15" t="inlineStr">
        <is>
          <t>prod_zinc_02</t>
        </is>
      </c>
      <c r="G40" s="15" t="inlineStr"/>
      <c r="H40" s="15" t="inlineStr">
        <is>
          <t>zinc_owned ≥ 25</t>
        </is>
      </c>
      <c r="I40" s="15" t="inlineStr">
        <is>
          <t>金币</t>
        </is>
      </c>
      <c r="J40" s="20" t="n">
        <v>2750000</v>
      </c>
      <c r="K40" s="15" t="inlineStr">
        <is>
          <t>2.75M</t>
        </is>
      </c>
      <c r="L40" s="32" t="n">
        <v>2.75</v>
      </c>
      <c r="M40" s="15" t="n">
        <v>6</v>
      </c>
      <c r="N40" s="15" t="inlineStr">
        <is>
          <t>BUILDING_CPS_MULT</t>
        </is>
      </c>
      <c r="O40" s="15" t="inlineStr">
        <is>
          <t>zinc</t>
        </is>
      </c>
      <c r="P40" s="15" t="inlineStr">
        <is>
          <t>MULTIPLY</t>
        </is>
      </c>
      <c r="Q40" s="15" t="n">
        <v>2</v>
      </c>
      <c r="R40" s="15" t="inlineStr"/>
      <c r="S40" s="15" t="inlineStr">
        <is>
          <t>所有已拥有的锌矿自动建筑产量 ×2；购买后该矿常规升级累计倍率为 ×8。</t>
        </is>
      </c>
      <c r="T40" s="15" t="inlineStr">
        <is>
          <t>本轮核心</t>
        </is>
      </c>
      <c r="U40" s="15" t="b">
        <v>0</v>
      </c>
      <c r="V40" s="15" t="inlineStr">
        <is>
          <t>每一级都是独立按钮（max_rank=1）；不要压成一个可连点等级字段。</t>
        </is>
      </c>
      <c r="W40" s="15" t="inlineStr">
        <is>
          <t>cost = 5.5K × 5e+02；解锁持有数=25。</t>
        </is>
      </c>
    </row>
    <row r="41" ht="36" customHeight="1">
      <c r="A41" s="15" t="inlineStr">
        <is>
          <t>prod_zinc_04</t>
        </is>
      </c>
      <c r="B41" s="15" t="inlineStr">
        <is>
          <t>锌矿·精密钻探</t>
        </is>
      </c>
      <c r="C41" s="31" t="inlineStr">
        <is>
          <t>矿物产能</t>
        </is>
      </c>
      <c r="D41" s="15" t="inlineStr">
        <is>
          <t>zinc</t>
        </is>
      </c>
      <c r="E41" s="15" t="n">
        <v>4</v>
      </c>
      <c r="F41" s="15" t="inlineStr">
        <is>
          <t>prod_zinc_03</t>
        </is>
      </c>
      <c r="G41" s="15" t="inlineStr"/>
      <c r="H41" s="15" t="inlineStr">
        <is>
          <t>zinc_owned ≥ 50</t>
        </is>
      </c>
      <c r="I41" s="15" t="inlineStr">
        <is>
          <t>金币</t>
        </is>
      </c>
      <c r="J41" s="20" t="n">
        <v>275000000</v>
      </c>
      <c r="K41" s="15" t="inlineStr">
        <is>
          <t>275M</t>
        </is>
      </c>
      <c r="L41" s="32" t="n">
        <v>2.75</v>
      </c>
      <c r="M41" s="15" t="n">
        <v>8</v>
      </c>
      <c r="N41" s="15" t="inlineStr">
        <is>
          <t>BUILDING_CPS_MULT</t>
        </is>
      </c>
      <c r="O41" s="15" t="inlineStr">
        <is>
          <t>zinc</t>
        </is>
      </c>
      <c r="P41" s="15" t="inlineStr">
        <is>
          <t>MULTIPLY</t>
        </is>
      </c>
      <c r="Q41" s="15" t="n">
        <v>2</v>
      </c>
      <c r="R41" s="15" t="inlineStr"/>
      <c r="S41" s="15" t="inlineStr">
        <is>
          <t>所有已拥有的锌矿自动建筑产量 ×2；购买后该矿常规升级累计倍率为 ×16。</t>
        </is>
      </c>
      <c r="T41" s="15" t="inlineStr">
        <is>
          <t>本轮核心</t>
        </is>
      </c>
      <c r="U41" s="15" t="b">
        <v>0</v>
      </c>
      <c r="V41" s="15" t="inlineStr">
        <is>
          <t>每一级都是独立按钮（max_rank=1）；不要压成一个可连点等级字段。</t>
        </is>
      </c>
      <c r="W41" s="15" t="inlineStr">
        <is>
          <t>cost = 5.5K × 5e+04；解锁持有数=50。</t>
        </is>
      </c>
    </row>
    <row r="42" ht="36" customHeight="1">
      <c r="A42" s="15" t="inlineStr">
        <is>
          <t>prod_zinc_05</t>
        </is>
      </c>
      <c r="B42" s="15" t="inlineStr">
        <is>
          <t>锌矿·工业扩建</t>
        </is>
      </c>
      <c r="C42" s="31" t="inlineStr">
        <is>
          <t>矿物产能</t>
        </is>
      </c>
      <c r="D42" s="15" t="inlineStr">
        <is>
          <t>zinc</t>
        </is>
      </c>
      <c r="E42" s="15" t="n">
        <v>5</v>
      </c>
      <c r="F42" s="15" t="inlineStr">
        <is>
          <t>prod_zinc_04</t>
        </is>
      </c>
      <c r="G42" s="15" t="inlineStr">
        <is>
          <t>meta_deep_mining</t>
        </is>
      </c>
      <c r="H42" s="15" t="inlineStr">
        <is>
          <t>zinc_owned ≥ 100</t>
        </is>
      </c>
      <c r="I42" s="15" t="inlineStr">
        <is>
          <t>金币</t>
        </is>
      </c>
      <c r="J42" s="20" t="n">
        <v>27500000000</v>
      </c>
      <c r="K42" s="15" t="inlineStr">
        <is>
          <t>27.5B</t>
        </is>
      </c>
      <c r="L42" s="32" t="n">
        <v>2.75</v>
      </c>
      <c r="M42" s="15" t="n">
        <v>10</v>
      </c>
      <c r="N42" s="15" t="inlineStr">
        <is>
          <t>BUILDING_CPS_MULT</t>
        </is>
      </c>
      <c r="O42" s="15" t="inlineStr">
        <is>
          <t>zinc</t>
        </is>
      </c>
      <c r="P42" s="15" t="inlineStr">
        <is>
          <t>MULTIPLY</t>
        </is>
      </c>
      <c r="Q42" s="15" t="n">
        <v>2</v>
      </c>
      <c r="R42" s="15" t="inlineStr"/>
      <c r="S42" s="15" t="inlineStr">
        <is>
          <t>所有已拥有的锌矿自动建筑产量 ×2；购买后该矿常规升级累计倍率为 ×32。</t>
        </is>
      </c>
      <c r="T42" s="15" t="inlineStr">
        <is>
          <t>升华扩展 I</t>
        </is>
      </c>
      <c r="U42" s="15" t="b">
        <v>0</v>
      </c>
      <c r="V42" s="15" t="inlineStr">
        <is>
          <t>每一级都是独立按钮（max_rank=1）；不要压成一个可连点等级字段。</t>
        </is>
      </c>
      <c r="W42" s="15" t="inlineStr">
        <is>
          <t>cost = 5.5K × 5e+06；解锁持有数=100。</t>
        </is>
      </c>
    </row>
    <row r="43" ht="36" customHeight="1">
      <c r="A43" s="15" t="inlineStr">
        <is>
          <t>prod_zinc_06</t>
        </is>
      </c>
      <c r="B43" s="15" t="inlineStr">
        <is>
          <t>锌矿·自动调度</t>
        </is>
      </c>
      <c r="C43" s="31" t="inlineStr">
        <is>
          <t>矿物产能</t>
        </is>
      </c>
      <c r="D43" s="15" t="inlineStr">
        <is>
          <t>zinc</t>
        </is>
      </c>
      <c r="E43" s="15" t="n">
        <v>6</v>
      </c>
      <c r="F43" s="15" t="inlineStr">
        <is>
          <t>prod_zinc_05</t>
        </is>
      </c>
      <c r="G43" s="15" t="inlineStr">
        <is>
          <t>meta_deep_mining</t>
        </is>
      </c>
      <c r="H43" s="15" t="inlineStr">
        <is>
          <t>zinc_owned ≥ 150</t>
        </is>
      </c>
      <c r="I43" s="15" t="inlineStr">
        <is>
          <t>金币</t>
        </is>
      </c>
      <c r="J43" s="20" t="n">
        <v>2750000000000</v>
      </c>
      <c r="K43" s="15" t="inlineStr">
        <is>
          <t>2.75T</t>
        </is>
      </c>
      <c r="L43" s="32" t="n">
        <v>2.75</v>
      </c>
      <c r="M43" s="15" t="n">
        <v>12</v>
      </c>
      <c r="N43" s="15" t="inlineStr">
        <is>
          <t>BUILDING_CPS_MULT</t>
        </is>
      </c>
      <c r="O43" s="15" t="inlineStr">
        <is>
          <t>zinc</t>
        </is>
      </c>
      <c r="P43" s="15" t="inlineStr">
        <is>
          <t>MULTIPLY</t>
        </is>
      </c>
      <c r="Q43" s="15" t="n">
        <v>2</v>
      </c>
      <c r="R43" s="15" t="inlineStr"/>
      <c r="S43" s="15" t="inlineStr">
        <is>
          <t>所有已拥有的锌矿自动建筑产量 ×2；购买后该矿常规升级累计倍率为 ×64。</t>
        </is>
      </c>
      <c r="T43" s="15" t="inlineStr">
        <is>
          <t>升华扩展 I</t>
        </is>
      </c>
      <c r="U43" s="15" t="b">
        <v>0</v>
      </c>
      <c r="V43" s="15" t="inlineStr">
        <is>
          <t>每一级都是独立按钮（max_rank=1）；不要压成一个可连点等级字段。</t>
        </is>
      </c>
      <c r="W43" s="15" t="inlineStr">
        <is>
          <t>cost = 5.5K × 5e+08；解锁持有数=150。</t>
        </is>
      </c>
    </row>
    <row r="44" ht="36" customHeight="1">
      <c r="A44" s="15" t="inlineStr">
        <is>
          <t>prod_zinc_07</t>
        </is>
      </c>
      <c r="B44" s="15" t="inlineStr">
        <is>
          <t>锌矿·深层网络</t>
        </is>
      </c>
      <c r="C44" s="31" t="inlineStr">
        <is>
          <t>矿物产能</t>
        </is>
      </c>
      <c r="D44" s="15" t="inlineStr">
        <is>
          <t>zinc</t>
        </is>
      </c>
      <c r="E44" s="15" t="n">
        <v>7</v>
      </c>
      <c r="F44" s="15" t="inlineStr">
        <is>
          <t>prod_zinc_06</t>
        </is>
      </c>
      <c r="G44" s="15" t="inlineStr">
        <is>
          <t>meta_abyssal_mining</t>
        </is>
      </c>
      <c r="H44" s="15" t="inlineStr">
        <is>
          <t>zinc_owned ≥ 200</t>
        </is>
      </c>
      <c r="I44" s="15" t="inlineStr">
        <is>
          <t>金币</t>
        </is>
      </c>
      <c r="J44" s="33" t="n">
        <v>2750000000000000</v>
      </c>
      <c r="K44" s="15" t="inlineStr">
        <is>
          <t>2.75Qa</t>
        </is>
      </c>
      <c r="L44" s="32" t="n">
        <v>2.75</v>
      </c>
      <c r="M44" s="15" t="n">
        <v>15</v>
      </c>
      <c r="N44" s="15" t="inlineStr">
        <is>
          <t>BUILDING_CPS_MULT</t>
        </is>
      </c>
      <c r="O44" s="15" t="inlineStr">
        <is>
          <t>zinc</t>
        </is>
      </c>
      <c r="P44" s="15" t="inlineStr">
        <is>
          <t>MULTIPLY</t>
        </is>
      </c>
      <c r="Q44" s="15" t="n">
        <v>2</v>
      </c>
      <c r="R44" s="15" t="inlineStr"/>
      <c r="S44" s="15" t="inlineStr">
        <is>
          <t>所有已拥有的锌矿自动建筑产量 ×2；购买后该矿常规升级累计倍率为 ×128。</t>
        </is>
      </c>
      <c r="T44" s="15" t="inlineStr">
        <is>
          <t>大数阶段</t>
        </is>
      </c>
      <c r="U44" s="15" t="b">
        <v>0</v>
      </c>
      <c r="V44" s="15" t="inlineStr">
        <is>
          <t>每一级都是独立按钮（max_rank=1）；不要压成一个可连点等级字段。</t>
        </is>
      </c>
      <c r="W44" s="15" t="inlineStr">
        <is>
          <t>cost = 5.5K × 5e+11；解锁持有数=200。</t>
        </is>
      </c>
    </row>
    <row r="45" ht="36" customHeight="1">
      <c r="A45" s="15" t="inlineStr">
        <is>
          <t>prod_zinc_08</t>
        </is>
      </c>
      <c r="B45" s="15" t="inlineStr">
        <is>
          <t>锌矿·量子提炼</t>
        </is>
      </c>
      <c r="C45" s="31" t="inlineStr">
        <is>
          <t>矿物产能</t>
        </is>
      </c>
      <c r="D45" s="15" t="inlineStr">
        <is>
          <t>zinc</t>
        </is>
      </c>
      <c r="E45" s="15" t="n">
        <v>8</v>
      </c>
      <c r="F45" s="15" t="inlineStr">
        <is>
          <t>prod_zinc_07</t>
        </is>
      </c>
      <c r="G45" s="15" t="inlineStr">
        <is>
          <t>meta_abyssal_mining</t>
        </is>
      </c>
      <c r="H45" s="15" t="inlineStr">
        <is>
          <t>zinc_owned ≥ 250</t>
        </is>
      </c>
      <c r="I45" s="15" t="inlineStr">
        <is>
          <t>金币</t>
        </is>
      </c>
      <c r="J45" s="33" t="n">
        <v>2.75e+18</v>
      </c>
      <c r="K45" s="15" t="inlineStr">
        <is>
          <t>2.75Qi</t>
        </is>
      </c>
      <c r="L45" s="32" t="n">
        <v>2.75</v>
      </c>
      <c r="M45" s="15" t="n">
        <v>18</v>
      </c>
      <c r="N45" s="15" t="inlineStr">
        <is>
          <t>BUILDING_CPS_MULT</t>
        </is>
      </c>
      <c r="O45" s="15" t="inlineStr">
        <is>
          <t>zinc</t>
        </is>
      </c>
      <c r="P45" s="15" t="inlineStr">
        <is>
          <t>MULTIPLY</t>
        </is>
      </c>
      <c r="Q45" s="15" t="n">
        <v>2</v>
      </c>
      <c r="R45" s="15" t="inlineStr"/>
      <c r="S45" s="15" t="inlineStr">
        <is>
          <t>所有已拥有的锌矿自动建筑产量 ×2；购买后该矿常规升级累计倍率为 ×256。</t>
        </is>
      </c>
      <c r="T45" s="15" t="inlineStr">
        <is>
          <t>大数阶段</t>
        </is>
      </c>
      <c r="U45" s="15" t="b">
        <v>0</v>
      </c>
      <c r="V45" s="15" t="inlineStr">
        <is>
          <t>每一级都是独立按钮（max_rank=1）；不要压成一个可连点等级字段。</t>
        </is>
      </c>
      <c r="W45" s="15" t="inlineStr">
        <is>
          <t>cost = 5.5K × 5e+14；解锁持有数=250。</t>
        </is>
      </c>
    </row>
    <row r="46" ht="36" customHeight="1">
      <c r="A46" s="15" t="inlineStr">
        <is>
          <t>prod_zinc_09</t>
        </is>
      </c>
      <c r="B46" s="15" t="inlineStr">
        <is>
          <t>锌矿·星核工艺</t>
        </is>
      </c>
      <c r="C46" s="31" t="inlineStr">
        <is>
          <t>矿物产能</t>
        </is>
      </c>
      <c r="D46" s="15" t="inlineStr">
        <is>
          <t>zinc</t>
        </is>
      </c>
      <c r="E46" s="15" t="n">
        <v>9</v>
      </c>
      <c r="F46" s="15" t="inlineStr">
        <is>
          <t>prod_zinc_08</t>
        </is>
      </c>
      <c r="G46" s="15" t="inlineStr">
        <is>
          <t>meta_abyssal_mining</t>
        </is>
      </c>
      <c r="H46" s="15" t="inlineStr">
        <is>
          <t>zinc_owned ≥ 300</t>
        </is>
      </c>
      <c r="I46" s="15" t="inlineStr">
        <is>
          <t>金币</t>
        </is>
      </c>
      <c r="J46" s="33" t="n">
        <v>2.75e+21</v>
      </c>
      <c r="K46" s="15" t="inlineStr">
        <is>
          <t>2.750e+21</t>
        </is>
      </c>
      <c r="L46" s="32" t="n">
        <v>2.75</v>
      </c>
      <c r="M46" s="15" t="n">
        <v>21</v>
      </c>
      <c r="N46" s="15" t="inlineStr">
        <is>
          <t>BUILDING_CPS_MULT</t>
        </is>
      </c>
      <c r="O46" s="15" t="inlineStr">
        <is>
          <t>zinc</t>
        </is>
      </c>
      <c r="P46" s="15" t="inlineStr">
        <is>
          <t>MULTIPLY</t>
        </is>
      </c>
      <c r="Q46" s="15" t="n">
        <v>2</v>
      </c>
      <c r="R46" s="15" t="inlineStr"/>
      <c r="S46" s="15" t="inlineStr">
        <is>
          <t>所有已拥有的锌矿自动建筑产量 ×2；购买后该矿常规升级累计倍率为 ×512。</t>
        </is>
      </c>
      <c r="T46" s="15" t="inlineStr">
        <is>
          <t>大数阶段</t>
        </is>
      </c>
      <c r="U46" s="34" t="b">
        <v>1</v>
      </c>
      <c r="V46" s="15" t="inlineStr">
        <is>
          <t>每一级都是独立按钮（max_rank=1）；不要压成一个可连点等级字段。</t>
        </is>
      </c>
      <c r="W46" s="15" t="inlineStr">
        <is>
          <t>cost = 5.5K × 5e+17；解锁持有数=300。</t>
        </is>
      </c>
    </row>
    <row r="47" ht="36" customHeight="1">
      <c r="A47" s="15" t="inlineStr">
        <is>
          <t>prod_zinc_10</t>
        </is>
      </c>
      <c r="B47" s="15" t="inlineStr">
        <is>
          <t>锌矿·维度开采</t>
        </is>
      </c>
      <c r="C47" s="31" t="inlineStr">
        <is>
          <t>矿物产能</t>
        </is>
      </c>
      <c r="D47" s="15" t="inlineStr">
        <is>
          <t>zinc</t>
        </is>
      </c>
      <c r="E47" s="15" t="n">
        <v>10</v>
      </c>
      <c r="F47" s="15" t="inlineStr">
        <is>
          <t>prod_zinc_09</t>
        </is>
      </c>
      <c r="G47" s="15" t="inlineStr">
        <is>
          <t>meta_abyssal_mining</t>
        </is>
      </c>
      <c r="H47" s="15" t="inlineStr">
        <is>
          <t>zinc_owned ≥ 350</t>
        </is>
      </c>
      <c r="I47" s="15" t="inlineStr">
        <is>
          <t>金币</t>
        </is>
      </c>
      <c r="J47" s="33" t="n">
        <v>2.75e+24</v>
      </c>
      <c r="K47" s="15" t="inlineStr">
        <is>
          <t>2.750e+24</t>
        </is>
      </c>
      <c r="L47" s="32" t="n">
        <v>2.75</v>
      </c>
      <c r="M47" s="15" t="n">
        <v>24</v>
      </c>
      <c r="N47" s="15" t="inlineStr">
        <is>
          <t>BUILDING_CPS_MULT</t>
        </is>
      </c>
      <c r="O47" s="15" t="inlineStr">
        <is>
          <t>zinc</t>
        </is>
      </c>
      <c r="P47" s="15" t="inlineStr">
        <is>
          <t>MULTIPLY</t>
        </is>
      </c>
      <c r="Q47" s="15" t="n">
        <v>2</v>
      </c>
      <c r="R47" s="15" t="inlineStr"/>
      <c r="S47" s="15" t="inlineStr">
        <is>
          <t>所有已拥有的锌矿自动建筑产量 ×2；购买后该矿常规升级累计倍率为 ×1,024。</t>
        </is>
      </c>
      <c r="T47" s="15" t="inlineStr">
        <is>
          <t>大数阶段</t>
        </is>
      </c>
      <c r="U47" s="34" t="b">
        <v>1</v>
      </c>
      <c r="V47" s="15" t="inlineStr">
        <is>
          <t>每一级都是独立按钮（max_rank=1）；不要压成一个可连点等级字段。</t>
        </is>
      </c>
      <c r="W47" s="15" t="inlineStr">
        <is>
          <t>cost = 5.5K × 5e+20；解锁持有数=350。</t>
        </is>
      </c>
    </row>
    <row r="48" ht="36" customHeight="1">
      <c r="A48" s="15" t="inlineStr">
        <is>
          <t>prod_zinc_11</t>
        </is>
      </c>
      <c r="B48" s="15" t="inlineStr">
        <is>
          <t>锌矿·时间压缩</t>
        </is>
      </c>
      <c r="C48" s="31" t="inlineStr">
        <is>
          <t>矿物产能</t>
        </is>
      </c>
      <c r="D48" s="15" t="inlineStr">
        <is>
          <t>zinc</t>
        </is>
      </c>
      <c r="E48" s="15" t="n">
        <v>11</v>
      </c>
      <c r="F48" s="15" t="inlineStr">
        <is>
          <t>prod_zinc_10</t>
        </is>
      </c>
      <c r="G48" s="15" t="inlineStr">
        <is>
          <t>meta_endless_mining</t>
        </is>
      </c>
      <c r="H48" s="15" t="inlineStr">
        <is>
          <t>zinc_owned ≥ 400</t>
        </is>
      </c>
      <c r="I48" s="15" t="inlineStr">
        <is>
          <t>金币</t>
        </is>
      </c>
      <c r="J48" s="33" t="n">
        <v>2.75e+28</v>
      </c>
      <c r="K48" s="15" t="inlineStr">
        <is>
          <t>2.750e+28</t>
        </is>
      </c>
      <c r="L48" s="32" t="n">
        <v>2.75</v>
      </c>
      <c r="M48" s="15" t="n">
        <v>28</v>
      </c>
      <c r="N48" s="15" t="inlineStr">
        <is>
          <t>BUILDING_CPS_MULT</t>
        </is>
      </c>
      <c r="O48" s="15" t="inlineStr">
        <is>
          <t>zinc</t>
        </is>
      </c>
      <c r="P48" s="15" t="inlineStr">
        <is>
          <t>MULTIPLY</t>
        </is>
      </c>
      <c r="Q48" s="15" t="n">
        <v>2</v>
      </c>
      <c r="R48" s="15" t="inlineStr"/>
      <c r="S48" s="15" t="inlineStr">
        <is>
          <t>所有已拥有的锌矿自动建筑产量 ×2；购买后该矿常规升级累计倍率为 ×2,048。</t>
        </is>
      </c>
      <c r="T48" s="15" t="inlineStr">
        <is>
          <t>终局阶段</t>
        </is>
      </c>
      <c r="U48" s="34" t="b">
        <v>1</v>
      </c>
      <c r="V48" s="15" t="inlineStr">
        <is>
          <t>每一级都是独立按钮（max_rank=1）；不要压成一个可连点等级字段。</t>
        </is>
      </c>
      <c r="W48" s="15" t="inlineStr">
        <is>
          <t>cost = 5.5K × 5e+24；解锁持有数=400。</t>
        </is>
      </c>
    </row>
    <row r="49" ht="36" customHeight="1">
      <c r="A49" s="15" t="inlineStr">
        <is>
          <t>prod_zinc_12</t>
        </is>
      </c>
      <c r="B49" s="15" t="inlineStr">
        <is>
          <t>锌矿·因果矿脉</t>
        </is>
      </c>
      <c r="C49" s="31" t="inlineStr">
        <is>
          <t>矿物产能</t>
        </is>
      </c>
      <c r="D49" s="15" t="inlineStr">
        <is>
          <t>zinc</t>
        </is>
      </c>
      <c r="E49" s="15" t="n">
        <v>12</v>
      </c>
      <c r="F49" s="15" t="inlineStr">
        <is>
          <t>prod_zinc_11</t>
        </is>
      </c>
      <c r="G49" s="15" t="inlineStr">
        <is>
          <t>meta_endless_mining</t>
        </is>
      </c>
      <c r="H49" s="15" t="inlineStr">
        <is>
          <t>zinc_owned ≥ 450</t>
        </is>
      </c>
      <c r="I49" s="15" t="inlineStr">
        <is>
          <t>金币</t>
        </is>
      </c>
      <c r="J49" s="33" t="n">
        <v>2.75e+32</v>
      </c>
      <c r="K49" s="15" t="inlineStr">
        <is>
          <t>2.750e+32</t>
        </is>
      </c>
      <c r="L49" s="32" t="n">
        <v>2.75</v>
      </c>
      <c r="M49" s="15" t="n">
        <v>32</v>
      </c>
      <c r="N49" s="15" t="inlineStr">
        <is>
          <t>BUILDING_CPS_MULT</t>
        </is>
      </c>
      <c r="O49" s="15" t="inlineStr">
        <is>
          <t>zinc</t>
        </is>
      </c>
      <c r="P49" s="15" t="inlineStr">
        <is>
          <t>MULTIPLY</t>
        </is>
      </c>
      <c r="Q49" s="15" t="n">
        <v>2</v>
      </c>
      <c r="R49" s="15" t="inlineStr"/>
      <c r="S49" s="15" t="inlineStr">
        <is>
          <t>所有已拥有的锌矿自动建筑产量 ×2；购买后该矿常规升级累计倍率为 ×4,096。</t>
        </is>
      </c>
      <c r="T49" s="15" t="inlineStr">
        <is>
          <t>终局阶段</t>
        </is>
      </c>
      <c r="U49" s="34" t="b">
        <v>1</v>
      </c>
      <c r="V49" s="15" t="inlineStr">
        <is>
          <t>每一级都是独立按钮（max_rank=1）；不要压成一个可连点等级字段。</t>
        </is>
      </c>
      <c r="W49" s="15" t="inlineStr">
        <is>
          <t>cost = 5.5K × 5e+28；解锁持有数=450。</t>
        </is>
      </c>
    </row>
    <row r="50" ht="36" customHeight="1">
      <c r="A50" s="15" t="inlineStr">
        <is>
          <t>prod_zinc_13</t>
        </is>
      </c>
      <c r="B50" s="15" t="inlineStr">
        <is>
          <t>锌矿·无限矿区</t>
        </is>
      </c>
      <c r="C50" s="31" t="inlineStr">
        <is>
          <t>矿物产能</t>
        </is>
      </c>
      <c r="D50" s="15" t="inlineStr">
        <is>
          <t>zinc</t>
        </is>
      </c>
      <c r="E50" s="15" t="n">
        <v>13</v>
      </c>
      <c r="F50" s="15" t="inlineStr">
        <is>
          <t>prod_zinc_12</t>
        </is>
      </c>
      <c r="G50" s="15" t="inlineStr">
        <is>
          <t>meta_endless_mining</t>
        </is>
      </c>
      <c r="H50" s="15" t="inlineStr">
        <is>
          <t>zinc_owned ≥ 500</t>
        </is>
      </c>
      <c r="I50" s="15" t="inlineStr">
        <is>
          <t>金币</t>
        </is>
      </c>
      <c r="J50" s="33" t="n">
        <v>2.75e+36</v>
      </c>
      <c r="K50" s="15" t="inlineStr">
        <is>
          <t>2.750e+36</t>
        </is>
      </c>
      <c r="L50" s="32" t="n">
        <v>2.75</v>
      </c>
      <c r="M50" s="15" t="n">
        <v>36</v>
      </c>
      <c r="N50" s="15" t="inlineStr">
        <is>
          <t>BUILDING_CPS_MULT</t>
        </is>
      </c>
      <c r="O50" s="15" t="inlineStr">
        <is>
          <t>zinc</t>
        </is>
      </c>
      <c r="P50" s="15" t="inlineStr">
        <is>
          <t>MULTIPLY</t>
        </is>
      </c>
      <c r="Q50" s="15" t="n">
        <v>2</v>
      </c>
      <c r="R50" s="15" t="inlineStr"/>
      <c r="S50" s="15" t="inlineStr">
        <is>
          <t>所有已拥有的锌矿自动建筑产量 ×2；购买后该矿常规升级累计倍率为 ×8,192。</t>
        </is>
      </c>
      <c r="T50" s="15" t="inlineStr">
        <is>
          <t>终局阶段</t>
        </is>
      </c>
      <c r="U50" s="34" t="b">
        <v>1</v>
      </c>
      <c r="V50" s="15" t="inlineStr">
        <is>
          <t>每一级都是独立按钮（max_rank=1）；不要压成一个可连点等级字段。</t>
        </is>
      </c>
      <c r="W50" s="15" t="inlineStr">
        <is>
          <t>cost = 5.5K × 5e+32；解锁持有数=500。</t>
        </is>
      </c>
    </row>
    <row r="51" ht="36" customHeight="1">
      <c r="A51" s="15" t="inlineStr">
        <is>
          <t>prod_zinc_14</t>
        </is>
      </c>
      <c r="B51" s="15" t="inlineStr">
        <is>
          <t>锌矿·概念提炼</t>
        </is>
      </c>
      <c r="C51" s="31" t="inlineStr">
        <is>
          <t>矿物产能</t>
        </is>
      </c>
      <c r="D51" s="15" t="inlineStr">
        <is>
          <t>zinc</t>
        </is>
      </c>
      <c r="E51" s="15" t="n">
        <v>14</v>
      </c>
      <c r="F51" s="15" t="inlineStr">
        <is>
          <t>prod_zinc_13</t>
        </is>
      </c>
      <c r="G51" s="15" t="inlineStr">
        <is>
          <t>meta_endless_mining</t>
        </is>
      </c>
      <c r="H51" s="15" t="inlineStr">
        <is>
          <t>zinc_owned ≥ 550</t>
        </is>
      </c>
      <c r="I51" s="15" t="inlineStr">
        <is>
          <t>金币</t>
        </is>
      </c>
      <c r="J51" s="33" t="n">
        <v>2.75e+40</v>
      </c>
      <c r="K51" s="15" t="inlineStr">
        <is>
          <t>2.750e+40</t>
        </is>
      </c>
      <c r="L51" s="32" t="n">
        <v>2.75</v>
      </c>
      <c r="M51" s="15" t="n">
        <v>40</v>
      </c>
      <c r="N51" s="15" t="inlineStr">
        <is>
          <t>BUILDING_CPS_MULT</t>
        </is>
      </c>
      <c r="O51" s="15" t="inlineStr">
        <is>
          <t>zinc</t>
        </is>
      </c>
      <c r="P51" s="15" t="inlineStr">
        <is>
          <t>MULTIPLY</t>
        </is>
      </c>
      <c r="Q51" s="15" t="n">
        <v>2</v>
      </c>
      <c r="R51" s="15" t="inlineStr"/>
      <c r="S51" s="15" t="inlineStr">
        <is>
          <t>所有已拥有的锌矿自动建筑产量 ×2；购买后该矿常规升级累计倍率为 ×16,384。</t>
        </is>
      </c>
      <c r="T51" s="15" t="inlineStr">
        <is>
          <t>终局阶段</t>
        </is>
      </c>
      <c r="U51" s="34" t="b">
        <v>1</v>
      </c>
      <c r="V51" s="15" t="inlineStr">
        <is>
          <t>每一级都是独立按钮（max_rank=1）；不要压成一个可连点等级字段。</t>
        </is>
      </c>
      <c r="W51" s="15" t="inlineStr">
        <is>
          <t>cost = 5.5K × 5e+36；解锁持有数=550。</t>
        </is>
      </c>
    </row>
    <row r="52" ht="36" customHeight="1">
      <c r="A52" s="15" t="inlineStr">
        <is>
          <t>prod_zinc_15</t>
        </is>
      </c>
      <c r="B52" s="15" t="inlineStr">
        <is>
          <t>锌矿·终极产能</t>
        </is>
      </c>
      <c r="C52" s="31" t="inlineStr">
        <is>
          <t>矿物产能</t>
        </is>
      </c>
      <c r="D52" s="15" t="inlineStr">
        <is>
          <t>zinc</t>
        </is>
      </c>
      <c r="E52" s="15" t="n">
        <v>15</v>
      </c>
      <c r="F52" s="15" t="inlineStr">
        <is>
          <t>prod_zinc_14</t>
        </is>
      </c>
      <c r="G52" s="15" t="inlineStr">
        <is>
          <t>meta_endless_mining</t>
        </is>
      </c>
      <c r="H52" s="15" t="inlineStr">
        <is>
          <t>zinc_owned ≥ 600</t>
        </is>
      </c>
      <c r="I52" s="15" t="inlineStr">
        <is>
          <t>金币</t>
        </is>
      </c>
      <c r="J52" s="33" t="n">
        <v>2.75e+44</v>
      </c>
      <c r="K52" s="15" t="inlineStr">
        <is>
          <t>2.750e+44</t>
        </is>
      </c>
      <c r="L52" s="32" t="n">
        <v>2.75</v>
      </c>
      <c r="M52" s="15" t="n">
        <v>44</v>
      </c>
      <c r="N52" s="15" t="inlineStr">
        <is>
          <t>BUILDING_CPS_MULT</t>
        </is>
      </c>
      <c r="O52" s="15" t="inlineStr">
        <is>
          <t>zinc</t>
        </is>
      </c>
      <c r="P52" s="15" t="inlineStr">
        <is>
          <t>MULTIPLY</t>
        </is>
      </c>
      <c r="Q52" s="15" t="n">
        <v>2</v>
      </c>
      <c r="R52" s="15" t="inlineStr"/>
      <c r="S52" s="15" t="inlineStr">
        <is>
          <t>所有已拥有的锌矿自动建筑产量 ×2；购买后该矿常规升级累计倍率为 ×32,768。</t>
        </is>
      </c>
      <c r="T52" s="15" t="inlineStr">
        <is>
          <t>终局阶段</t>
        </is>
      </c>
      <c r="U52" s="34" t="b">
        <v>1</v>
      </c>
      <c r="V52" s="15" t="inlineStr">
        <is>
          <t>每一级都是独立按钮（max_rank=1）；不要压成一个可连点等级字段。</t>
        </is>
      </c>
      <c r="W52" s="15" t="inlineStr">
        <is>
          <t>cost = 5.5K × 5e+40；解锁持有数=600。</t>
        </is>
      </c>
    </row>
    <row r="53" ht="36" customHeight="1">
      <c r="A53" s="15" t="inlineStr">
        <is>
          <t>unlock_gold</t>
        </is>
      </c>
      <c r="B53" s="15" t="inlineStr">
        <is>
          <t>解锁·金矿</t>
        </is>
      </c>
      <c r="C53" s="31" t="inlineStr">
        <is>
          <t>矿物解锁</t>
        </is>
      </c>
      <c r="D53" s="15" t="inlineStr">
        <is>
          <t>gold</t>
        </is>
      </c>
      <c r="E53" s="15" t="inlineStr">
        <is>
          <t>Unlock</t>
        </is>
      </c>
      <c r="F53" s="15" t="inlineStr">
        <is>
          <t>unlock_zinc</t>
        </is>
      </c>
      <c r="G53" s="15" t="inlineStr"/>
      <c r="H53" s="15" t="inlineStr">
        <is>
          <t>zinc_owned ≥ 15</t>
        </is>
      </c>
      <c r="I53" s="15" t="inlineStr">
        <is>
          <t>金币</t>
        </is>
      </c>
      <c r="J53" s="20" t="n">
        <v>30000</v>
      </c>
      <c r="K53" s="15" t="inlineStr">
        <is>
          <t>30K</t>
        </is>
      </c>
      <c r="L53" s="32" t="n">
        <v>3</v>
      </c>
      <c r="M53" s="15" t="n">
        <v>4</v>
      </c>
      <c r="N53" s="15" t="inlineStr">
        <is>
          <t>UNLOCK_PRODUCER_AND_ORE</t>
        </is>
      </c>
      <c r="O53" s="15" t="inlineStr">
        <is>
          <t>gold</t>
        </is>
      </c>
      <c r="P53" s="15" t="inlineStr">
        <is>
          <t>UNLOCK</t>
        </is>
      </c>
      <c r="Q53" s="15" t="n">
        <v>1</v>
      </c>
      <c r="R53" s="15" t="inlineStr"/>
      <c r="S53" s="15" t="inlineStr">
        <is>
          <t>解锁金矿自动建筑商店，并允许实体 gold 进入自然落矿池；该实体矿的Lv1~3同时允许。</t>
        </is>
      </c>
      <c r="T53" s="15" t="inlineStr">
        <is>
          <t>本轮核心</t>
        </is>
      </c>
      <c r="U53" s="15" t="b">
        <v>0</v>
      </c>
      <c r="V53" s="15" t="inlineStr">
        <is>
          <t>当前DefDb会加载全部矿物；V3必须在建筑商店与roll_ore两处同时校验。</t>
        </is>
      </c>
      <c r="W53" s="15" t="inlineStr">
        <is>
          <t>Coal免费；其余解锁成本严格等于该矿BasePrice×0.5，不再做有效数字取整。</t>
        </is>
      </c>
    </row>
    <row r="54" ht="36" customHeight="1">
      <c r="A54" s="15" t="inlineStr">
        <is>
          <t>prod_gold_01</t>
        </is>
      </c>
      <c r="B54" s="15" t="inlineStr">
        <is>
          <t>金矿·基础工具</t>
        </is>
      </c>
      <c r="C54" s="31" t="inlineStr">
        <is>
          <t>矿物产能</t>
        </is>
      </c>
      <c r="D54" s="15" t="inlineStr">
        <is>
          <t>gold</t>
        </is>
      </c>
      <c r="E54" s="15" t="n">
        <v>1</v>
      </c>
      <c r="F54" s="15" t="inlineStr">
        <is>
          <t>unlock_gold</t>
        </is>
      </c>
      <c r="G54" s="15" t="inlineStr"/>
      <c r="H54" s="15" t="inlineStr">
        <is>
          <t>gold_owned ≥ 1</t>
        </is>
      </c>
      <c r="I54" s="15" t="inlineStr">
        <is>
          <t>金币</t>
        </is>
      </c>
      <c r="J54" s="20" t="n">
        <v>600000</v>
      </c>
      <c r="K54" s="15" t="inlineStr">
        <is>
          <t>600K</t>
        </is>
      </c>
      <c r="L54" s="32" t="n">
        <v>6</v>
      </c>
      <c r="M54" s="15" t="n">
        <v>5</v>
      </c>
      <c r="N54" s="15" t="inlineStr">
        <is>
          <t>BUILDING_CPS_MULT</t>
        </is>
      </c>
      <c r="O54" s="15" t="inlineStr">
        <is>
          <t>gold</t>
        </is>
      </c>
      <c r="P54" s="15" t="inlineStr">
        <is>
          <t>MULTIPLY</t>
        </is>
      </c>
      <c r="Q54" s="15" t="n">
        <v>2</v>
      </c>
      <c r="R54" s="15" t="inlineStr"/>
      <c r="S54" s="15" t="inlineStr">
        <is>
          <t>所有已拥有的金矿自动建筑产量 ×2；购买后该矿常规升级累计倍率为 ×2。</t>
        </is>
      </c>
      <c r="T54" s="15" t="inlineStr">
        <is>
          <t>本轮核心</t>
        </is>
      </c>
      <c r="U54" s="15" t="b">
        <v>0</v>
      </c>
      <c r="V54" s="15" t="inlineStr">
        <is>
          <t>每一级都是独立按钮（max_rank=1）；不要压成一个可连点等级字段。</t>
        </is>
      </c>
      <c r="W54" s="15" t="inlineStr">
        <is>
          <t>cost = 60K × 1e+01；解锁持有数=1。</t>
        </is>
      </c>
    </row>
    <row r="55" ht="36" customHeight="1">
      <c r="A55" s="15" t="inlineStr">
        <is>
          <t>prod_gold_02</t>
        </is>
      </c>
      <c r="B55" s="15" t="inlineStr">
        <is>
          <t>金矿·标准流程</t>
        </is>
      </c>
      <c r="C55" s="31" t="inlineStr">
        <is>
          <t>矿物产能</t>
        </is>
      </c>
      <c r="D55" s="15" t="inlineStr">
        <is>
          <t>gold</t>
        </is>
      </c>
      <c r="E55" s="15" t="n">
        <v>2</v>
      </c>
      <c r="F55" s="15" t="inlineStr">
        <is>
          <t>prod_gold_01</t>
        </is>
      </c>
      <c r="G55" s="15" t="inlineStr"/>
      <c r="H55" s="15" t="inlineStr">
        <is>
          <t>gold_owned ≥ 5</t>
        </is>
      </c>
      <c r="I55" s="15" t="inlineStr">
        <is>
          <t>金币</t>
        </is>
      </c>
      <c r="J55" s="20" t="n">
        <v>3000000</v>
      </c>
      <c r="K55" s="15" t="inlineStr">
        <is>
          <t>3M</t>
        </is>
      </c>
      <c r="L55" s="32" t="n">
        <v>3</v>
      </c>
      <c r="M55" s="15" t="n">
        <v>6</v>
      </c>
      <c r="N55" s="15" t="inlineStr">
        <is>
          <t>BUILDING_CPS_MULT</t>
        </is>
      </c>
      <c r="O55" s="15" t="inlineStr">
        <is>
          <t>gold</t>
        </is>
      </c>
      <c r="P55" s="15" t="inlineStr">
        <is>
          <t>MULTIPLY</t>
        </is>
      </c>
      <c r="Q55" s="15" t="n">
        <v>2</v>
      </c>
      <c r="R55" s="15" t="inlineStr"/>
      <c r="S55" s="15" t="inlineStr">
        <is>
          <t>所有已拥有的金矿自动建筑产量 ×2；购买后该矿常规升级累计倍率为 ×4。</t>
        </is>
      </c>
      <c r="T55" s="15" t="inlineStr">
        <is>
          <t>本轮核心</t>
        </is>
      </c>
      <c r="U55" s="15" t="b">
        <v>0</v>
      </c>
      <c r="V55" s="15" t="inlineStr">
        <is>
          <t>每一级都是独立按钮（max_rank=1）；不要压成一个可连点等级字段。</t>
        </is>
      </c>
      <c r="W55" s="15" t="inlineStr">
        <is>
          <t>cost = 60K × 5e+01；解锁持有数=5。</t>
        </is>
      </c>
    </row>
    <row r="56" ht="36" customHeight="1">
      <c r="A56" s="15" t="inlineStr">
        <is>
          <t>prod_gold_03</t>
        </is>
      </c>
      <c r="B56" s="15" t="inlineStr">
        <is>
          <t>金矿·机械化</t>
        </is>
      </c>
      <c r="C56" s="31" t="inlineStr">
        <is>
          <t>矿物产能</t>
        </is>
      </c>
      <c r="D56" s="15" t="inlineStr">
        <is>
          <t>gold</t>
        </is>
      </c>
      <c r="E56" s="15" t="n">
        <v>3</v>
      </c>
      <c r="F56" s="15" t="inlineStr">
        <is>
          <t>prod_gold_02</t>
        </is>
      </c>
      <c r="G56" s="15" t="inlineStr"/>
      <c r="H56" s="15" t="inlineStr">
        <is>
          <t>gold_owned ≥ 25</t>
        </is>
      </c>
      <c r="I56" s="15" t="inlineStr">
        <is>
          <t>金币</t>
        </is>
      </c>
      <c r="J56" s="20" t="n">
        <v>30000000</v>
      </c>
      <c r="K56" s="15" t="inlineStr">
        <is>
          <t>30M</t>
        </is>
      </c>
      <c r="L56" s="32" t="n">
        <v>3</v>
      </c>
      <c r="M56" s="15" t="n">
        <v>7</v>
      </c>
      <c r="N56" s="15" t="inlineStr">
        <is>
          <t>BUILDING_CPS_MULT</t>
        </is>
      </c>
      <c r="O56" s="15" t="inlineStr">
        <is>
          <t>gold</t>
        </is>
      </c>
      <c r="P56" s="15" t="inlineStr">
        <is>
          <t>MULTIPLY</t>
        </is>
      </c>
      <c r="Q56" s="15" t="n">
        <v>2</v>
      </c>
      <c r="R56" s="15" t="inlineStr"/>
      <c r="S56" s="15" t="inlineStr">
        <is>
          <t>所有已拥有的金矿自动建筑产量 ×2；购买后该矿常规升级累计倍率为 ×8。</t>
        </is>
      </c>
      <c r="T56" s="15" t="inlineStr">
        <is>
          <t>本轮核心</t>
        </is>
      </c>
      <c r="U56" s="15" t="b">
        <v>0</v>
      </c>
      <c r="V56" s="15" t="inlineStr">
        <is>
          <t>每一级都是独立按钮（max_rank=1）；不要压成一个可连点等级字段。</t>
        </is>
      </c>
      <c r="W56" s="15" t="inlineStr">
        <is>
          <t>cost = 60K × 5e+02；解锁持有数=25。</t>
        </is>
      </c>
    </row>
    <row r="57" ht="36" customHeight="1">
      <c r="A57" s="15" t="inlineStr">
        <is>
          <t>prod_gold_04</t>
        </is>
      </c>
      <c r="B57" s="15" t="inlineStr">
        <is>
          <t>金矿·精密钻探</t>
        </is>
      </c>
      <c r="C57" s="31" t="inlineStr">
        <is>
          <t>矿物产能</t>
        </is>
      </c>
      <c r="D57" s="15" t="inlineStr">
        <is>
          <t>gold</t>
        </is>
      </c>
      <c r="E57" s="15" t="n">
        <v>4</v>
      </c>
      <c r="F57" s="15" t="inlineStr">
        <is>
          <t>prod_gold_03</t>
        </is>
      </c>
      <c r="G57" s="15" t="inlineStr"/>
      <c r="H57" s="15" t="inlineStr">
        <is>
          <t>gold_owned ≥ 50</t>
        </is>
      </c>
      <c r="I57" s="15" t="inlineStr">
        <is>
          <t>金币</t>
        </is>
      </c>
      <c r="J57" s="20" t="n">
        <v>3000000000</v>
      </c>
      <c r="K57" s="15" t="inlineStr">
        <is>
          <t>3B</t>
        </is>
      </c>
      <c r="L57" s="32" t="n">
        <v>3</v>
      </c>
      <c r="M57" s="15" t="n">
        <v>9</v>
      </c>
      <c r="N57" s="15" t="inlineStr">
        <is>
          <t>BUILDING_CPS_MULT</t>
        </is>
      </c>
      <c r="O57" s="15" t="inlineStr">
        <is>
          <t>gold</t>
        </is>
      </c>
      <c r="P57" s="15" t="inlineStr">
        <is>
          <t>MULTIPLY</t>
        </is>
      </c>
      <c r="Q57" s="15" t="n">
        <v>2</v>
      </c>
      <c r="R57" s="15" t="inlineStr"/>
      <c r="S57" s="15" t="inlineStr">
        <is>
          <t>所有已拥有的金矿自动建筑产量 ×2；购买后该矿常规升级累计倍率为 ×16。</t>
        </is>
      </c>
      <c r="T57" s="15" t="inlineStr">
        <is>
          <t>本轮核心</t>
        </is>
      </c>
      <c r="U57" s="15" t="b">
        <v>0</v>
      </c>
      <c r="V57" s="15" t="inlineStr">
        <is>
          <t>每一级都是独立按钮（max_rank=1）；不要压成一个可连点等级字段。</t>
        </is>
      </c>
      <c r="W57" s="15" t="inlineStr">
        <is>
          <t>cost = 60K × 5e+04；解锁持有数=50。</t>
        </is>
      </c>
    </row>
    <row r="58" ht="36" customHeight="1">
      <c r="A58" s="15" t="inlineStr">
        <is>
          <t>prod_gold_05</t>
        </is>
      </c>
      <c r="B58" s="15" t="inlineStr">
        <is>
          <t>金矿·工业扩建</t>
        </is>
      </c>
      <c r="C58" s="31" t="inlineStr">
        <is>
          <t>矿物产能</t>
        </is>
      </c>
      <c r="D58" s="15" t="inlineStr">
        <is>
          <t>gold</t>
        </is>
      </c>
      <c r="E58" s="15" t="n">
        <v>5</v>
      </c>
      <c r="F58" s="15" t="inlineStr">
        <is>
          <t>prod_gold_04</t>
        </is>
      </c>
      <c r="G58" s="15" t="inlineStr">
        <is>
          <t>meta_deep_mining</t>
        </is>
      </c>
      <c r="H58" s="15" t="inlineStr">
        <is>
          <t>gold_owned ≥ 100</t>
        </is>
      </c>
      <c r="I58" s="15" t="inlineStr">
        <is>
          <t>金币</t>
        </is>
      </c>
      <c r="J58" s="20" t="n">
        <v>300000000000</v>
      </c>
      <c r="K58" s="15" t="inlineStr">
        <is>
          <t>300B</t>
        </is>
      </c>
      <c r="L58" s="32" t="n">
        <v>3</v>
      </c>
      <c r="M58" s="15" t="n">
        <v>11</v>
      </c>
      <c r="N58" s="15" t="inlineStr">
        <is>
          <t>BUILDING_CPS_MULT</t>
        </is>
      </c>
      <c r="O58" s="15" t="inlineStr">
        <is>
          <t>gold</t>
        </is>
      </c>
      <c r="P58" s="15" t="inlineStr">
        <is>
          <t>MULTIPLY</t>
        </is>
      </c>
      <c r="Q58" s="15" t="n">
        <v>2</v>
      </c>
      <c r="R58" s="15" t="inlineStr"/>
      <c r="S58" s="15" t="inlineStr">
        <is>
          <t>所有已拥有的金矿自动建筑产量 ×2；购买后该矿常规升级累计倍率为 ×32。</t>
        </is>
      </c>
      <c r="T58" s="15" t="inlineStr">
        <is>
          <t>升华扩展 I</t>
        </is>
      </c>
      <c r="U58" s="15" t="b">
        <v>0</v>
      </c>
      <c r="V58" s="15" t="inlineStr">
        <is>
          <t>每一级都是独立按钮（max_rank=1）；不要压成一个可连点等级字段。</t>
        </is>
      </c>
      <c r="W58" s="15" t="inlineStr">
        <is>
          <t>cost = 60K × 5e+06；解锁持有数=100。</t>
        </is>
      </c>
    </row>
    <row r="59" ht="36" customHeight="1">
      <c r="A59" s="15" t="inlineStr">
        <is>
          <t>prod_gold_06</t>
        </is>
      </c>
      <c r="B59" s="15" t="inlineStr">
        <is>
          <t>金矿·自动调度</t>
        </is>
      </c>
      <c r="C59" s="31" t="inlineStr">
        <is>
          <t>矿物产能</t>
        </is>
      </c>
      <c r="D59" s="15" t="inlineStr">
        <is>
          <t>gold</t>
        </is>
      </c>
      <c r="E59" s="15" t="n">
        <v>6</v>
      </c>
      <c r="F59" s="15" t="inlineStr">
        <is>
          <t>prod_gold_05</t>
        </is>
      </c>
      <c r="G59" s="15" t="inlineStr">
        <is>
          <t>meta_deep_mining</t>
        </is>
      </c>
      <c r="H59" s="15" t="inlineStr">
        <is>
          <t>gold_owned ≥ 150</t>
        </is>
      </c>
      <c r="I59" s="15" t="inlineStr">
        <is>
          <t>金币</t>
        </is>
      </c>
      <c r="J59" s="20" t="n">
        <v>30000000000000</v>
      </c>
      <c r="K59" s="15" t="inlineStr">
        <is>
          <t>30T</t>
        </is>
      </c>
      <c r="L59" s="32" t="n">
        <v>3</v>
      </c>
      <c r="M59" s="15" t="n">
        <v>13</v>
      </c>
      <c r="N59" s="15" t="inlineStr">
        <is>
          <t>BUILDING_CPS_MULT</t>
        </is>
      </c>
      <c r="O59" s="15" t="inlineStr">
        <is>
          <t>gold</t>
        </is>
      </c>
      <c r="P59" s="15" t="inlineStr">
        <is>
          <t>MULTIPLY</t>
        </is>
      </c>
      <c r="Q59" s="15" t="n">
        <v>2</v>
      </c>
      <c r="R59" s="15" t="inlineStr"/>
      <c r="S59" s="15" t="inlineStr">
        <is>
          <t>所有已拥有的金矿自动建筑产量 ×2；购买后该矿常规升级累计倍率为 ×64。</t>
        </is>
      </c>
      <c r="T59" s="15" t="inlineStr">
        <is>
          <t>升华扩展 I</t>
        </is>
      </c>
      <c r="U59" s="15" t="b">
        <v>0</v>
      </c>
      <c r="V59" s="15" t="inlineStr">
        <is>
          <t>每一级都是独立按钮（max_rank=1）；不要压成一个可连点等级字段。</t>
        </is>
      </c>
      <c r="W59" s="15" t="inlineStr">
        <is>
          <t>cost = 60K × 5e+08；解锁持有数=150。</t>
        </is>
      </c>
    </row>
    <row r="60" ht="36" customHeight="1">
      <c r="A60" s="15" t="inlineStr">
        <is>
          <t>prod_gold_07</t>
        </is>
      </c>
      <c r="B60" s="15" t="inlineStr">
        <is>
          <t>金矿·深层网络</t>
        </is>
      </c>
      <c r="C60" s="31" t="inlineStr">
        <is>
          <t>矿物产能</t>
        </is>
      </c>
      <c r="D60" s="15" t="inlineStr">
        <is>
          <t>gold</t>
        </is>
      </c>
      <c r="E60" s="15" t="n">
        <v>7</v>
      </c>
      <c r="F60" s="15" t="inlineStr">
        <is>
          <t>prod_gold_06</t>
        </is>
      </c>
      <c r="G60" s="15" t="inlineStr">
        <is>
          <t>meta_abyssal_mining</t>
        </is>
      </c>
      <c r="H60" s="15" t="inlineStr">
        <is>
          <t>gold_owned ≥ 200</t>
        </is>
      </c>
      <c r="I60" s="15" t="inlineStr">
        <is>
          <t>金币</t>
        </is>
      </c>
      <c r="J60" s="33" t="n">
        <v>3e+16</v>
      </c>
      <c r="K60" s="15" t="inlineStr">
        <is>
          <t>30Qa</t>
        </is>
      </c>
      <c r="L60" s="32" t="n">
        <v>3</v>
      </c>
      <c r="M60" s="15" t="n">
        <v>16</v>
      </c>
      <c r="N60" s="15" t="inlineStr">
        <is>
          <t>BUILDING_CPS_MULT</t>
        </is>
      </c>
      <c r="O60" s="15" t="inlineStr">
        <is>
          <t>gold</t>
        </is>
      </c>
      <c r="P60" s="15" t="inlineStr">
        <is>
          <t>MULTIPLY</t>
        </is>
      </c>
      <c r="Q60" s="15" t="n">
        <v>2</v>
      </c>
      <c r="R60" s="15" t="inlineStr"/>
      <c r="S60" s="15" t="inlineStr">
        <is>
          <t>所有已拥有的金矿自动建筑产量 ×2；购买后该矿常规升级累计倍率为 ×128。</t>
        </is>
      </c>
      <c r="T60" s="15" t="inlineStr">
        <is>
          <t>大数阶段</t>
        </is>
      </c>
      <c r="U60" s="15" t="b">
        <v>0</v>
      </c>
      <c r="V60" s="15" t="inlineStr">
        <is>
          <t>每一级都是独立按钮（max_rank=1）；不要压成一个可连点等级字段。</t>
        </is>
      </c>
      <c r="W60" s="15" t="inlineStr">
        <is>
          <t>cost = 60K × 5e+11；解锁持有数=200。</t>
        </is>
      </c>
    </row>
    <row r="61" ht="36" customHeight="1">
      <c r="A61" s="15" t="inlineStr">
        <is>
          <t>prod_gold_08</t>
        </is>
      </c>
      <c r="B61" s="15" t="inlineStr">
        <is>
          <t>金矿·量子提炼</t>
        </is>
      </c>
      <c r="C61" s="31" t="inlineStr">
        <is>
          <t>矿物产能</t>
        </is>
      </c>
      <c r="D61" s="15" t="inlineStr">
        <is>
          <t>gold</t>
        </is>
      </c>
      <c r="E61" s="15" t="n">
        <v>8</v>
      </c>
      <c r="F61" s="15" t="inlineStr">
        <is>
          <t>prod_gold_07</t>
        </is>
      </c>
      <c r="G61" s="15" t="inlineStr">
        <is>
          <t>meta_abyssal_mining</t>
        </is>
      </c>
      <c r="H61" s="15" t="inlineStr">
        <is>
          <t>gold_owned ≥ 250</t>
        </is>
      </c>
      <c r="I61" s="15" t="inlineStr">
        <is>
          <t>金币</t>
        </is>
      </c>
      <c r="J61" s="33" t="n">
        <v>3e+19</v>
      </c>
      <c r="K61" s="15" t="inlineStr">
        <is>
          <t>30Qi</t>
        </is>
      </c>
      <c r="L61" s="32" t="n">
        <v>3</v>
      </c>
      <c r="M61" s="15" t="n">
        <v>19</v>
      </c>
      <c r="N61" s="15" t="inlineStr">
        <is>
          <t>BUILDING_CPS_MULT</t>
        </is>
      </c>
      <c r="O61" s="15" t="inlineStr">
        <is>
          <t>gold</t>
        </is>
      </c>
      <c r="P61" s="15" t="inlineStr">
        <is>
          <t>MULTIPLY</t>
        </is>
      </c>
      <c r="Q61" s="15" t="n">
        <v>2</v>
      </c>
      <c r="R61" s="15" t="inlineStr"/>
      <c r="S61" s="15" t="inlineStr">
        <is>
          <t>所有已拥有的金矿自动建筑产量 ×2；购买后该矿常规升级累计倍率为 ×256。</t>
        </is>
      </c>
      <c r="T61" s="15" t="inlineStr">
        <is>
          <t>大数阶段</t>
        </is>
      </c>
      <c r="U61" s="34" t="b">
        <v>1</v>
      </c>
      <c r="V61" s="15" t="inlineStr">
        <is>
          <t>每一级都是独立按钮（max_rank=1）；不要压成一个可连点等级字段。</t>
        </is>
      </c>
      <c r="W61" s="15" t="inlineStr">
        <is>
          <t>cost = 60K × 5e+14；解锁持有数=250。</t>
        </is>
      </c>
    </row>
    <row r="62" ht="36" customHeight="1">
      <c r="A62" s="15" t="inlineStr">
        <is>
          <t>prod_gold_09</t>
        </is>
      </c>
      <c r="B62" s="15" t="inlineStr">
        <is>
          <t>金矿·星核工艺</t>
        </is>
      </c>
      <c r="C62" s="31" t="inlineStr">
        <is>
          <t>矿物产能</t>
        </is>
      </c>
      <c r="D62" s="15" t="inlineStr">
        <is>
          <t>gold</t>
        </is>
      </c>
      <c r="E62" s="15" t="n">
        <v>9</v>
      </c>
      <c r="F62" s="15" t="inlineStr">
        <is>
          <t>prod_gold_08</t>
        </is>
      </c>
      <c r="G62" s="15" t="inlineStr">
        <is>
          <t>meta_abyssal_mining</t>
        </is>
      </c>
      <c r="H62" s="15" t="inlineStr">
        <is>
          <t>gold_owned ≥ 300</t>
        </is>
      </c>
      <c r="I62" s="15" t="inlineStr">
        <is>
          <t>金币</t>
        </is>
      </c>
      <c r="J62" s="33" t="n">
        <v>3e+22</v>
      </c>
      <c r="K62" s="15" t="inlineStr">
        <is>
          <t>3.000e+22</t>
        </is>
      </c>
      <c r="L62" s="32" t="n">
        <v>3</v>
      </c>
      <c r="M62" s="15" t="n">
        <v>22</v>
      </c>
      <c r="N62" s="15" t="inlineStr">
        <is>
          <t>BUILDING_CPS_MULT</t>
        </is>
      </c>
      <c r="O62" s="15" t="inlineStr">
        <is>
          <t>gold</t>
        </is>
      </c>
      <c r="P62" s="15" t="inlineStr">
        <is>
          <t>MULTIPLY</t>
        </is>
      </c>
      <c r="Q62" s="15" t="n">
        <v>2</v>
      </c>
      <c r="R62" s="15" t="inlineStr"/>
      <c r="S62" s="15" t="inlineStr">
        <is>
          <t>所有已拥有的金矿自动建筑产量 ×2；购买后该矿常规升级累计倍率为 ×512。</t>
        </is>
      </c>
      <c r="T62" s="15" t="inlineStr">
        <is>
          <t>大数阶段</t>
        </is>
      </c>
      <c r="U62" s="34" t="b">
        <v>1</v>
      </c>
      <c r="V62" s="15" t="inlineStr">
        <is>
          <t>每一级都是独立按钮（max_rank=1）；不要压成一个可连点等级字段。</t>
        </is>
      </c>
      <c r="W62" s="15" t="inlineStr">
        <is>
          <t>cost = 60K × 5e+17；解锁持有数=300。</t>
        </is>
      </c>
    </row>
    <row r="63" ht="36" customHeight="1">
      <c r="A63" s="15" t="inlineStr">
        <is>
          <t>prod_gold_10</t>
        </is>
      </c>
      <c r="B63" s="15" t="inlineStr">
        <is>
          <t>金矿·维度开采</t>
        </is>
      </c>
      <c r="C63" s="31" t="inlineStr">
        <is>
          <t>矿物产能</t>
        </is>
      </c>
      <c r="D63" s="15" t="inlineStr">
        <is>
          <t>gold</t>
        </is>
      </c>
      <c r="E63" s="15" t="n">
        <v>10</v>
      </c>
      <c r="F63" s="15" t="inlineStr">
        <is>
          <t>prod_gold_09</t>
        </is>
      </c>
      <c r="G63" s="15" t="inlineStr">
        <is>
          <t>meta_abyssal_mining</t>
        </is>
      </c>
      <c r="H63" s="15" t="inlineStr">
        <is>
          <t>gold_owned ≥ 350</t>
        </is>
      </c>
      <c r="I63" s="15" t="inlineStr">
        <is>
          <t>金币</t>
        </is>
      </c>
      <c r="J63" s="33" t="n">
        <v>3e+25</v>
      </c>
      <c r="K63" s="15" t="inlineStr">
        <is>
          <t>3.000e+25</t>
        </is>
      </c>
      <c r="L63" s="32" t="n">
        <v>3</v>
      </c>
      <c r="M63" s="15" t="n">
        <v>25</v>
      </c>
      <c r="N63" s="15" t="inlineStr">
        <is>
          <t>BUILDING_CPS_MULT</t>
        </is>
      </c>
      <c r="O63" s="15" t="inlineStr">
        <is>
          <t>gold</t>
        </is>
      </c>
      <c r="P63" s="15" t="inlineStr">
        <is>
          <t>MULTIPLY</t>
        </is>
      </c>
      <c r="Q63" s="15" t="n">
        <v>2</v>
      </c>
      <c r="R63" s="15" t="inlineStr"/>
      <c r="S63" s="15" t="inlineStr">
        <is>
          <t>所有已拥有的金矿自动建筑产量 ×2；购买后该矿常规升级累计倍率为 ×1,024。</t>
        </is>
      </c>
      <c r="T63" s="15" t="inlineStr">
        <is>
          <t>大数阶段</t>
        </is>
      </c>
      <c r="U63" s="34" t="b">
        <v>1</v>
      </c>
      <c r="V63" s="15" t="inlineStr">
        <is>
          <t>每一级都是独立按钮（max_rank=1）；不要压成一个可连点等级字段。</t>
        </is>
      </c>
      <c r="W63" s="15" t="inlineStr">
        <is>
          <t>cost = 60K × 5e+20；解锁持有数=350。</t>
        </is>
      </c>
    </row>
    <row r="64" ht="36" customHeight="1">
      <c r="A64" s="15" t="inlineStr">
        <is>
          <t>prod_gold_11</t>
        </is>
      </c>
      <c r="B64" s="15" t="inlineStr">
        <is>
          <t>金矿·时间压缩</t>
        </is>
      </c>
      <c r="C64" s="31" t="inlineStr">
        <is>
          <t>矿物产能</t>
        </is>
      </c>
      <c r="D64" s="15" t="inlineStr">
        <is>
          <t>gold</t>
        </is>
      </c>
      <c r="E64" s="15" t="n">
        <v>11</v>
      </c>
      <c r="F64" s="15" t="inlineStr">
        <is>
          <t>prod_gold_10</t>
        </is>
      </c>
      <c r="G64" s="15" t="inlineStr">
        <is>
          <t>meta_endless_mining</t>
        </is>
      </c>
      <c r="H64" s="15" t="inlineStr">
        <is>
          <t>gold_owned ≥ 400</t>
        </is>
      </c>
      <c r="I64" s="15" t="inlineStr">
        <is>
          <t>金币</t>
        </is>
      </c>
      <c r="J64" s="33" t="n">
        <v>3e+29</v>
      </c>
      <c r="K64" s="15" t="inlineStr">
        <is>
          <t>3.000e+29</t>
        </is>
      </c>
      <c r="L64" s="32" t="n">
        <v>3</v>
      </c>
      <c r="M64" s="15" t="n">
        <v>29</v>
      </c>
      <c r="N64" s="15" t="inlineStr">
        <is>
          <t>BUILDING_CPS_MULT</t>
        </is>
      </c>
      <c r="O64" s="15" t="inlineStr">
        <is>
          <t>gold</t>
        </is>
      </c>
      <c r="P64" s="15" t="inlineStr">
        <is>
          <t>MULTIPLY</t>
        </is>
      </c>
      <c r="Q64" s="15" t="n">
        <v>2</v>
      </c>
      <c r="R64" s="15" t="inlineStr"/>
      <c r="S64" s="15" t="inlineStr">
        <is>
          <t>所有已拥有的金矿自动建筑产量 ×2；购买后该矿常规升级累计倍率为 ×2,048。</t>
        </is>
      </c>
      <c r="T64" s="15" t="inlineStr">
        <is>
          <t>终局阶段</t>
        </is>
      </c>
      <c r="U64" s="34" t="b">
        <v>1</v>
      </c>
      <c r="V64" s="15" t="inlineStr">
        <is>
          <t>每一级都是独立按钮（max_rank=1）；不要压成一个可连点等级字段。</t>
        </is>
      </c>
      <c r="W64" s="15" t="inlineStr">
        <is>
          <t>cost = 60K × 5e+24；解锁持有数=400。</t>
        </is>
      </c>
    </row>
    <row r="65" ht="36" customHeight="1">
      <c r="A65" s="15" t="inlineStr">
        <is>
          <t>prod_gold_12</t>
        </is>
      </c>
      <c r="B65" s="15" t="inlineStr">
        <is>
          <t>金矿·因果矿脉</t>
        </is>
      </c>
      <c r="C65" s="31" t="inlineStr">
        <is>
          <t>矿物产能</t>
        </is>
      </c>
      <c r="D65" s="15" t="inlineStr">
        <is>
          <t>gold</t>
        </is>
      </c>
      <c r="E65" s="15" t="n">
        <v>12</v>
      </c>
      <c r="F65" s="15" t="inlineStr">
        <is>
          <t>prod_gold_11</t>
        </is>
      </c>
      <c r="G65" s="15" t="inlineStr">
        <is>
          <t>meta_endless_mining</t>
        </is>
      </c>
      <c r="H65" s="15" t="inlineStr">
        <is>
          <t>gold_owned ≥ 450</t>
        </is>
      </c>
      <c r="I65" s="15" t="inlineStr">
        <is>
          <t>金币</t>
        </is>
      </c>
      <c r="J65" s="33" t="n">
        <v>3e+33</v>
      </c>
      <c r="K65" s="15" t="inlineStr">
        <is>
          <t>3.000e+33</t>
        </is>
      </c>
      <c r="L65" s="32" t="n">
        <v>3</v>
      </c>
      <c r="M65" s="15" t="n">
        <v>33</v>
      </c>
      <c r="N65" s="15" t="inlineStr">
        <is>
          <t>BUILDING_CPS_MULT</t>
        </is>
      </c>
      <c r="O65" s="15" t="inlineStr">
        <is>
          <t>gold</t>
        </is>
      </c>
      <c r="P65" s="15" t="inlineStr">
        <is>
          <t>MULTIPLY</t>
        </is>
      </c>
      <c r="Q65" s="15" t="n">
        <v>2</v>
      </c>
      <c r="R65" s="15" t="inlineStr"/>
      <c r="S65" s="15" t="inlineStr">
        <is>
          <t>所有已拥有的金矿自动建筑产量 ×2；购买后该矿常规升级累计倍率为 ×4,096。</t>
        </is>
      </c>
      <c r="T65" s="15" t="inlineStr">
        <is>
          <t>终局阶段</t>
        </is>
      </c>
      <c r="U65" s="34" t="b">
        <v>1</v>
      </c>
      <c r="V65" s="15" t="inlineStr">
        <is>
          <t>每一级都是独立按钮（max_rank=1）；不要压成一个可连点等级字段。</t>
        </is>
      </c>
      <c r="W65" s="15" t="inlineStr">
        <is>
          <t>cost = 60K × 5e+28；解锁持有数=450。</t>
        </is>
      </c>
    </row>
    <row r="66" ht="36" customHeight="1">
      <c r="A66" s="15" t="inlineStr">
        <is>
          <t>prod_gold_13</t>
        </is>
      </c>
      <c r="B66" s="15" t="inlineStr">
        <is>
          <t>金矿·无限矿区</t>
        </is>
      </c>
      <c r="C66" s="31" t="inlineStr">
        <is>
          <t>矿物产能</t>
        </is>
      </c>
      <c r="D66" s="15" t="inlineStr">
        <is>
          <t>gold</t>
        </is>
      </c>
      <c r="E66" s="15" t="n">
        <v>13</v>
      </c>
      <c r="F66" s="15" t="inlineStr">
        <is>
          <t>prod_gold_12</t>
        </is>
      </c>
      <c r="G66" s="15" t="inlineStr">
        <is>
          <t>meta_endless_mining</t>
        </is>
      </c>
      <c r="H66" s="15" t="inlineStr">
        <is>
          <t>gold_owned ≥ 500</t>
        </is>
      </c>
      <c r="I66" s="15" t="inlineStr">
        <is>
          <t>金币</t>
        </is>
      </c>
      <c r="J66" s="33" t="n">
        <v>3e+37</v>
      </c>
      <c r="K66" s="15" t="inlineStr">
        <is>
          <t>3.000e+37</t>
        </is>
      </c>
      <c r="L66" s="32" t="n">
        <v>3</v>
      </c>
      <c r="M66" s="15" t="n">
        <v>37</v>
      </c>
      <c r="N66" s="15" t="inlineStr">
        <is>
          <t>BUILDING_CPS_MULT</t>
        </is>
      </c>
      <c r="O66" s="15" t="inlineStr">
        <is>
          <t>gold</t>
        </is>
      </c>
      <c r="P66" s="15" t="inlineStr">
        <is>
          <t>MULTIPLY</t>
        </is>
      </c>
      <c r="Q66" s="15" t="n">
        <v>2</v>
      </c>
      <c r="R66" s="15" t="inlineStr"/>
      <c r="S66" s="15" t="inlineStr">
        <is>
          <t>所有已拥有的金矿自动建筑产量 ×2；购买后该矿常规升级累计倍率为 ×8,192。</t>
        </is>
      </c>
      <c r="T66" s="15" t="inlineStr">
        <is>
          <t>终局阶段</t>
        </is>
      </c>
      <c r="U66" s="34" t="b">
        <v>1</v>
      </c>
      <c r="V66" s="15" t="inlineStr">
        <is>
          <t>每一级都是独立按钮（max_rank=1）；不要压成一个可连点等级字段。</t>
        </is>
      </c>
      <c r="W66" s="15" t="inlineStr">
        <is>
          <t>cost = 60K × 5e+32；解锁持有数=500。</t>
        </is>
      </c>
    </row>
    <row r="67" ht="36" customHeight="1">
      <c r="A67" s="15" t="inlineStr">
        <is>
          <t>prod_gold_14</t>
        </is>
      </c>
      <c r="B67" s="15" t="inlineStr">
        <is>
          <t>金矿·概念提炼</t>
        </is>
      </c>
      <c r="C67" s="31" t="inlineStr">
        <is>
          <t>矿物产能</t>
        </is>
      </c>
      <c r="D67" s="15" t="inlineStr">
        <is>
          <t>gold</t>
        </is>
      </c>
      <c r="E67" s="15" t="n">
        <v>14</v>
      </c>
      <c r="F67" s="15" t="inlineStr">
        <is>
          <t>prod_gold_13</t>
        </is>
      </c>
      <c r="G67" s="15" t="inlineStr">
        <is>
          <t>meta_endless_mining</t>
        </is>
      </c>
      <c r="H67" s="15" t="inlineStr">
        <is>
          <t>gold_owned ≥ 550</t>
        </is>
      </c>
      <c r="I67" s="15" t="inlineStr">
        <is>
          <t>金币</t>
        </is>
      </c>
      <c r="J67" s="33" t="n">
        <v>3e+41</v>
      </c>
      <c r="K67" s="15" t="inlineStr">
        <is>
          <t>3.000e+41</t>
        </is>
      </c>
      <c r="L67" s="32" t="n">
        <v>3</v>
      </c>
      <c r="M67" s="15" t="n">
        <v>41</v>
      </c>
      <c r="N67" s="15" t="inlineStr">
        <is>
          <t>BUILDING_CPS_MULT</t>
        </is>
      </c>
      <c r="O67" s="15" t="inlineStr">
        <is>
          <t>gold</t>
        </is>
      </c>
      <c r="P67" s="15" t="inlineStr">
        <is>
          <t>MULTIPLY</t>
        </is>
      </c>
      <c r="Q67" s="15" t="n">
        <v>2</v>
      </c>
      <c r="R67" s="15" t="inlineStr"/>
      <c r="S67" s="15" t="inlineStr">
        <is>
          <t>所有已拥有的金矿自动建筑产量 ×2；购买后该矿常规升级累计倍率为 ×16,384。</t>
        </is>
      </c>
      <c r="T67" s="15" t="inlineStr">
        <is>
          <t>终局阶段</t>
        </is>
      </c>
      <c r="U67" s="34" t="b">
        <v>1</v>
      </c>
      <c r="V67" s="15" t="inlineStr">
        <is>
          <t>每一级都是独立按钮（max_rank=1）；不要压成一个可连点等级字段。</t>
        </is>
      </c>
      <c r="W67" s="15" t="inlineStr">
        <is>
          <t>cost = 60K × 5e+36；解锁持有数=550。</t>
        </is>
      </c>
    </row>
    <row r="68" ht="36" customHeight="1">
      <c r="A68" s="15" t="inlineStr">
        <is>
          <t>prod_gold_15</t>
        </is>
      </c>
      <c r="B68" s="15" t="inlineStr">
        <is>
          <t>金矿·终极产能</t>
        </is>
      </c>
      <c r="C68" s="31" t="inlineStr">
        <is>
          <t>矿物产能</t>
        </is>
      </c>
      <c r="D68" s="15" t="inlineStr">
        <is>
          <t>gold</t>
        </is>
      </c>
      <c r="E68" s="15" t="n">
        <v>15</v>
      </c>
      <c r="F68" s="15" t="inlineStr">
        <is>
          <t>prod_gold_14</t>
        </is>
      </c>
      <c r="G68" s="15" t="inlineStr">
        <is>
          <t>meta_endless_mining</t>
        </is>
      </c>
      <c r="H68" s="15" t="inlineStr">
        <is>
          <t>gold_owned ≥ 600</t>
        </is>
      </c>
      <c r="I68" s="15" t="inlineStr">
        <is>
          <t>金币</t>
        </is>
      </c>
      <c r="J68" s="33" t="n">
        <v>3e+45</v>
      </c>
      <c r="K68" s="15" t="inlineStr">
        <is>
          <t>3.000e+45</t>
        </is>
      </c>
      <c r="L68" s="32" t="n">
        <v>3</v>
      </c>
      <c r="M68" s="15" t="n">
        <v>45</v>
      </c>
      <c r="N68" s="15" t="inlineStr">
        <is>
          <t>BUILDING_CPS_MULT</t>
        </is>
      </c>
      <c r="O68" s="15" t="inlineStr">
        <is>
          <t>gold</t>
        </is>
      </c>
      <c r="P68" s="15" t="inlineStr">
        <is>
          <t>MULTIPLY</t>
        </is>
      </c>
      <c r="Q68" s="15" t="n">
        <v>2</v>
      </c>
      <c r="R68" s="15" t="inlineStr"/>
      <c r="S68" s="15" t="inlineStr">
        <is>
          <t>所有已拥有的金矿自动建筑产量 ×2；购买后该矿常规升级累计倍率为 ×32,768。</t>
        </is>
      </c>
      <c r="T68" s="15" t="inlineStr">
        <is>
          <t>终局阶段</t>
        </is>
      </c>
      <c r="U68" s="34" t="b">
        <v>1</v>
      </c>
      <c r="V68" s="15" t="inlineStr">
        <is>
          <t>每一级都是独立按钮（max_rank=1）；不要压成一个可连点等级字段。</t>
        </is>
      </c>
      <c r="W68" s="15" t="inlineStr">
        <is>
          <t>cost = 60K × 5e+40；解锁持有数=600。</t>
        </is>
      </c>
    </row>
    <row r="69" ht="36" customHeight="1">
      <c r="A69" s="15" t="inlineStr">
        <is>
          <t>unlock_crystal</t>
        </is>
      </c>
      <c r="B69" s="15" t="inlineStr">
        <is>
          <t>解锁·水晶矿</t>
        </is>
      </c>
      <c r="C69" s="31" t="inlineStr">
        <is>
          <t>矿物解锁</t>
        </is>
      </c>
      <c r="D69" s="15" t="inlineStr">
        <is>
          <t>crystal</t>
        </is>
      </c>
      <c r="E69" s="15" t="inlineStr">
        <is>
          <t>Unlock</t>
        </is>
      </c>
      <c r="F69" s="15" t="inlineStr">
        <is>
          <t>unlock_gold</t>
        </is>
      </c>
      <c r="G69" s="15" t="inlineStr"/>
      <c r="H69" s="15" t="inlineStr">
        <is>
          <t>gold_owned ≥ 15</t>
        </is>
      </c>
      <c r="I69" s="15" t="inlineStr">
        <is>
          <t>金币</t>
        </is>
      </c>
      <c r="J69" s="20" t="n">
        <v>325000</v>
      </c>
      <c r="K69" s="15" t="inlineStr">
        <is>
          <t>325K</t>
        </is>
      </c>
      <c r="L69" s="32" t="n">
        <v>3.25</v>
      </c>
      <c r="M69" s="15" t="n">
        <v>5</v>
      </c>
      <c r="N69" s="15" t="inlineStr">
        <is>
          <t>UNLOCK_PRODUCER_AND_ORE</t>
        </is>
      </c>
      <c r="O69" s="15" t="inlineStr">
        <is>
          <t>crystal</t>
        </is>
      </c>
      <c r="P69" s="15" t="inlineStr">
        <is>
          <t>UNLOCK</t>
        </is>
      </c>
      <c r="Q69" s="15" t="n">
        <v>1</v>
      </c>
      <c r="R69" s="15" t="inlineStr"/>
      <c r="S69" s="15" t="inlineStr">
        <is>
          <t>解锁水晶矿自动建筑商店，并允许实体 crystal 进入自然落矿池；该实体矿的Lv1~3同时允许。</t>
        </is>
      </c>
      <c r="T69" s="15" t="inlineStr">
        <is>
          <t>本轮核心</t>
        </is>
      </c>
      <c r="U69" s="15" t="b">
        <v>0</v>
      </c>
      <c r="V69" s="15" t="inlineStr">
        <is>
          <t>当前DefDb会加载全部矿物；V3必须在建筑商店与roll_ore两处同时校验。</t>
        </is>
      </c>
      <c r="W69" s="15" t="inlineStr">
        <is>
          <t>Coal免费；其余解锁成本严格等于该矿BasePrice×0.5，不再做有效数字取整。</t>
        </is>
      </c>
    </row>
    <row r="70" ht="36" customHeight="1">
      <c r="A70" s="15" t="inlineStr">
        <is>
          <t>prod_crystal_01</t>
        </is>
      </c>
      <c r="B70" s="15" t="inlineStr">
        <is>
          <t>水晶矿·基础工具</t>
        </is>
      </c>
      <c r="C70" s="31" t="inlineStr">
        <is>
          <t>矿物产能</t>
        </is>
      </c>
      <c r="D70" s="15" t="inlineStr">
        <is>
          <t>crystal</t>
        </is>
      </c>
      <c r="E70" s="15" t="n">
        <v>1</v>
      </c>
      <c r="F70" s="15" t="inlineStr">
        <is>
          <t>unlock_crystal</t>
        </is>
      </c>
      <c r="G70" s="15" t="inlineStr"/>
      <c r="H70" s="15" t="inlineStr">
        <is>
          <t>crystal_owned ≥ 1</t>
        </is>
      </c>
      <c r="I70" s="15" t="inlineStr">
        <is>
          <t>金币</t>
        </is>
      </c>
      <c r="J70" s="20" t="n">
        <v>6500000</v>
      </c>
      <c r="K70" s="15" t="inlineStr">
        <is>
          <t>6.5M</t>
        </is>
      </c>
      <c r="L70" s="32" t="n">
        <v>6.5</v>
      </c>
      <c r="M70" s="15" t="n">
        <v>6</v>
      </c>
      <c r="N70" s="15" t="inlineStr">
        <is>
          <t>BUILDING_CPS_MULT</t>
        </is>
      </c>
      <c r="O70" s="15" t="inlineStr">
        <is>
          <t>crystal</t>
        </is>
      </c>
      <c r="P70" s="15" t="inlineStr">
        <is>
          <t>MULTIPLY</t>
        </is>
      </c>
      <c r="Q70" s="15" t="n">
        <v>2</v>
      </c>
      <c r="R70" s="15" t="inlineStr"/>
      <c r="S70" s="15" t="inlineStr">
        <is>
          <t>所有已拥有的水晶矿自动建筑产量 ×2；购买后该矿常规升级累计倍率为 ×2。</t>
        </is>
      </c>
      <c r="T70" s="15" t="inlineStr">
        <is>
          <t>本轮核心</t>
        </is>
      </c>
      <c r="U70" s="15" t="b">
        <v>0</v>
      </c>
      <c r="V70" s="15" t="inlineStr">
        <is>
          <t>每一级都是独立按钮（max_rank=1）；不要压成一个可连点等级字段。</t>
        </is>
      </c>
      <c r="W70" s="15" t="inlineStr">
        <is>
          <t>cost = 650K × 1e+01；解锁持有数=1。</t>
        </is>
      </c>
    </row>
    <row r="71" ht="36" customHeight="1">
      <c r="A71" s="15" t="inlineStr">
        <is>
          <t>prod_crystal_02</t>
        </is>
      </c>
      <c r="B71" s="15" t="inlineStr">
        <is>
          <t>水晶矿·标准流程</t>
        </is>
      </c>
      <c r="C71" s="31" t="inlineStr">
        <is>
          <t>矿物产能</t>
        </is>
      </c>
      <c r="D71" s="15" t="inlineStr">
        <is>
          <t>crystal</t>
        </is>
      </c>
      <c r="E71" s="15" t="n">
        <v>2</v>
      </c>
      <c r="F71" s="15" t="inlineStr">
        <is>
          <t>prod_crystal_01</t>
        </is>
      </c>
      <c r="G71" s="15" t="inlineStr"/>
      <c r="H71" s="15" t="inlineStr">
        <is>
          <t>crystal_owned ≥ 5</t>
        </is>
      </c>
      <c r="I71" s="15" t="inlineStr">
        <is>
          <t>金币</t>
        </is>
      </c>
      <c r="J71" s="20" t="n">
        <v>32500000</v>
      </c>
      <c r="K71" s="15" t="inlineStr">
        <is>
          <t>32.5M</t>
        </is>
      </c>
      <c r="L71" s="32" t="n">
        <v>3.25</v>
      </c>
      <c r="M71" s="15" t="n">
        <v>7</v>
      </c>
      <c r="N71" s="15" t="inlineStr">
        <is>
          <t>BUILDING_CPS_MULT</t>
        </is>
      </c>
      <c r="O71" s="15" t="inlineStr">
        <is>
          <t>crystal</t>
        </is>
      </c>
      <c r="P71" s="15" t="inlineStr">
        <is>
          <t>MULTIPLY</t>
        </is>
      </c>
      <c r="Q71" s="15" t="n">
        <v>2</v>
      </c>
      <c r="R71" s="15" t="inlineStr"/>
      <c r="S71" s="15" t="inlineStr">
        <is>
          <t>所有已拥有的水晶矿自动建筑产量 ×2；购买后该矿常规升级累计倍率为 ×4。</t>
        </is>
      </c>
      <c r="T71" s="15" t="inlineStr">
        <is>
          <t>本轮核心</t>
        </is>
      </c>
      <c r="U71" s="15" t="b">
        <v>0</v>
      </c>
      <c r="V71" s="15" t="inlineStr">
        <is>
          <t>每一级都是独立按钮（max_rank=1）；不要压成一个可连点等级字段。</t>
        </is>
      </c>
      <c r="W71" s="15" t="inlineStr">
        <is>
          <t>cost = 650K × 5e+01；解锁持有数=5。</t>
        </is>
      </c>
    </row>
    <row r="72" ht="36" customHeight="1">
      <c r="A72" s="15" t="inlineStr">
        <is>
          <t>prod_crystal_03</t>
        </is>
      </c>
      <c r="B72" s="15" t="inlineStr">
        <is>
          <t>水晶矿·机械化</t>
        </is>
      </c>
      <c r="C72" s="31" t="inlineStr">
        <is>
          <t>矿物产能</t>
        </is>
      </c>
      <c r="D72" s="15" t="inlineStr">
        <is>
          <t>crystal</t>
        </is>
      </c>
      <c r="E72" s="15" t="n">
        <v>3</v>
      </c>
      <c r="F72" s="15" t="inlineStr">
        <is>
          <t>prod_crystal_02</t>
        </is>
      </c>
      <c r="G72" s="15" t="inlineStr"/>
      <c r="H72" s="15" t="inlineStr">
        <is>
          <t>crystal_owned ≥ 25</t>
        </is>
      </c>
      <c r="I72" s="15" t="inlineStr">
        <is>
          <t>金币</t>
        </is>
      </c>
      <c r="J72" s="20" t="n">
        <v>325000000</v>
      </c>
      <c r="K72" s="15" t="inlineStr">
        <is>
          <t>325M</t>
        </is>
      </c>
      <c r="L72" s="32" t="n">
        <v>3.25</v>
      </c>
      <c r="M72" s="15" t="n">
        <v>8</v>
      </c>
      <c r="N72" s="15" t="inlineStr">
        <is>
          <t>BUILDING_CPS_MULT</t>
        </is>
      </c>
      <c r="O72" s="15" t="inlineStr">
        <is>
          <t>crystal</t>
        </is>
      </c>
      <c r="P72" s="15" t="inlineStr">
        <is>
          <t>MULTIPLY</t>
        </is>
      </c>
      <c r="Q72" s="15" t="n">
        <v>2</v>
      </c>
      <c r="R72" s="15" t="inlineStr"/>
      <c r="S72" s="15" t="inlineStr">
        <is>
          <t>所有已拥有的水晶矿自动建筑产量 ×2；购买后该矿常规升级累计倍率为 ×8。</t>
        </is>
      </c>
      <c r="T72" s="15" t="inlineStr">
        <is>
          <t>本轮核心</t>
        </is>
      </c>
      <c r="U72" s="15" t="b">
        <v>0</v>
      </c>
      <c r="V72" s="15" t="inlineStr">
        <is>
          <t>每一级都是独立按钮（max_rank=1）；不要压成一个可连点等级字段。</t>
        </is>
      </c>
      <c r="W72" s="15" t="inlineStr">
        <is>
          <t>cost = 650K × 5e+02；解锁持有数=25。</t>
        </is>
      </c>
    </row>
    <row r="73" ht="36" customHeight="1">
      <c r="A73" s="15" t="inlineStr">
        <is>
          <t>prod_crystal_04</t>
        </is>
      </c>
      <c r="B73" s="15" t="inlineStr">
        <is>
          <t>水晶矿·精密钻探</t>
        </is>
      </c>
      <c r="C73" s="31" t="inlineStr">
        <is>
          <t>矿物产能</t>
        </is>
      </c>
      <c r="D73" s="15" t="inlineStr">
        <is>
          <t>crystal</t>
        </is>
      </c>
      <c r="E73" s="15" t="n">
        <v>4</v>
      </c>
      <c r="F73" s="15" t="inlineStr">
        <is>
          <t>prod_crystal_03</t>
        </is>
      </c>
      <c r="G73" s="15" t="inlineStr"/>
      <c r="H73" s="15" t="inlineStr">
        <is>
          <t>crystal_owned ≥ 50</t>
        </is>
      </c>
      <c r="I73" s="15" t="inlineStr">
        <is>
          <t>金币</t>
        </is>
      </c>
      <c r="J73" s="20" t="n">
        <v>32500000000</v>
      </c>
      <c r="K73" s="15" t="inlineStr">
        <is>
          <t>32.5B</t>
        </is>
      </c>
      <c r="L73" s="32" t="n">
        <v>3.25</v>
      </c>
      <c r="M73" s="15" t="n">
        <v>10</v>
      </c>
      <c r="N73" s="15" t="inlineStr">
        <is>
          <t>BUILDING_CPS_MULT</t>
        </is>
      </c>
      <c r="O73" s="15" t="inlineStr">
        <is>
          <t>crystal</t>
        </is>
      </c>
      <c r="P73" s="15" t="inlineStr">
        <is>
          <t>MULTIPLY</t>
        </is>
      </c>
      <c r="Q73" s="15" t="n">
        <v>2</v>
      </c>
      <c r="R73" s="15" t="inlineStr"/>
      <c r="S73" s="15" t="inlineStr">
        <is>
          <t>所有已拥有的水晶矿自动建筑产量 ×2；购买后该矿常规升级累计倍率为 ×16。</t>
        </is>
      </c>
      <c r="T73" s="15" t="inlineStr">
        <is>
          <t>本轮核心</t>
        </is>
      </c>
      <c r="U73" s="15" t="b">
        <v>0</v>
      </c>
      <c r="V73" s="15" t="inlineStr">
        <is>
          <t>每一级都是独立按钮（max_rank=1）；不要压成一个可连点等级字段。</t>
        </is>
      </c>
      <c r="W73" s="15" t="inlineStr">
        <is>
          <t>cost = 650K × 5e+04；解锁持有数=50。</t>
        </is>
      </c>
    </row>
    <row r="74" ht="36" customHeight="1">
      <c r="A74" s="15" t="inlineStr">
        <is>
          <t>prod_crystal_05</t>
        </is>
      </c>
      <c r="B74" s="15" t="inlineStr">
        <is>
          <t>水晶矿·工业扩建</t>
        </is>
      </c>
      <c r="C74" s="31" t="inlineStr">
        <is>
          <t>矿物产能</t>
        </is>
      </c>
      <c r="D74" s="15" t="inlineStr">
        <is>
          <t>crystal</t>
        </is>
      </c>
      <c r="E74" s="15" t="n">
        <v>5</v>
      </c>
      <c r="F74" s="15" t="inlineStr">
        <is>
          <t>prod_crystal_04</t>
        </is>
      </c>
      <c r="G74" s="15" t="inlineStr">
        <is>
          <t>meta_deep_mining</t>
        </is>
      </c>
      <c r="H74" s="15" t="inlineStr">
        <is>
          <t>crystal_owned ≥ 100</t>
        </is>
      </c>
      <c r="I74" s="15" t="inlineStr">
        <is>
          <t>金币</t>
        </is>
      </c>
      <c r="J74" s="20" t="n">
        <v>3250000000000</v>
      </c>
      <c r="K74" s="15" t="inlineStr">
        <is>
          <t>3.25T</t>
        </is>
      </c>
      <c r="L74" s="32" t="n">
        <v>3.25</v>
      </c>
      <c r="M74" s="15" t="n">
        <v>12</v>
      </c>
      <c r="N74" s="15" t="inlineStr">
        <is>
          <t>BUILDING_CPS_MULT</t>
        </is>
      </c>
      <c r="O74" s="15" t="inlineStr">
        <is>
          <t>crystal</t>
        </is>
      </c>
      <c r="P74" s="15" t="inlineStr">
        <is>
          <t>MULTIPLY</t>
        </is>
      </c>
      <c r="Q74" s="15" t="n">
        <v>2</v>
      </c>
      <c r="R74" s="15" t="inlineStr"/>
      <c r="S74" s="15" t="inlineStr">
        <is>
          <t>所有已拥有的水晶矿自动建筑产量 ×2；购买后该矿常规升级累计倍率为 ×32。</t>
        </is>
      </c>
      <c r="T74" s="15" t="inlineStr">
        <is>
          <t>升华扩展 I</t>
        </is>
      </c>
      <c r="U74" s="15" t="b">
        <v>0</v>
      </c>
      <c r="V74" s="15" t="inlineStr">
        <is>
          <t>每一级都是独立按钮（max_rank=1）；不要压成一个可连点等级字段。</t>
        </is>
      </c>
      <c r="W74" s="15" t="inlineStr">
        <is>
          <t>cost = 650K × 5e+06；解锁持有数=100。</t>
        </is>
      </c>
    </row>
    <row r="75" ht="36" customHeight="1">
      <c r="A75" s="15" t="inlineStr">
        <is>
          <t>prod_crystal_06</t>
        </is>
      </c>
      <c r="B75" s="15" t="inlineStr">
        <is>
          <t>水晶矿·自动调度</t>
        </is>
      </c>
      <c r="C75" s="31" t="inlineStr">
        <is>
          <t>矿物产能</t>
        </is>
      </c>
      <c r="D75" s="15" t="inlineStr">
        <is>
          <t>crystal</t>
        </is>
      </c>
      <c r="E75" s="15" t="n">
        <v>6</v>
      </c>
      <c r="F75" s="15" t="inlineStr">
        <is>
          <t>prod_crystal_05</t>
        </is>
      </c>
      <c r="G75" s="15" t="inlineStr">
        <is>
          <t>meta_deep_mining</t>
        </is>
      </c>
      <c r="H75" s="15" t="inlineStr">
        <is>
          <t>crystal_owned ≥ 150</t>
        </is>
      </c>
      <c r="I75" s="15" t="inlineStr">
        <is>
          <t>金币</t>
        </is>
      </c>
      <c r="J75" s="20" t="n">
        <v>325000000000000</v>
      </c>
      <c r="K75" s="15" t="inlineStr">
        <is>
          <t>325T</t>
        </is>
      </c>
      <c r="L75" s="32" t="n">
        <v>3.25</v>
      </c>
      <c r="M75" s="15" t="n">
        <v>14</v>
      </c>
      <c r="N75" s="15" t="inlineStr">
        <is>
          <t>BUILDING_CPS_MULT</t>
        </is>
      </c>
      <c r="O75" s="15" t="inlineStr">
        <is>
          <t>crystal</t>
        </is>
      </c>
      <c r="P75" s="15" t="inlineStr">
        <is>
          <t>MULTIPLY</t>
        </is>
      </c>
      <c r="Q75" s="15" t="n">
        <v>2</v>
      </c>
      <c r="R75" s="15" t="inlineStr"/>
      <c r="S75" s="15" t="inlineStr">
        <is>
          <t>所有已拥有的水晶矿自动建筑产量 ×2；购买后该矿常规升级累计倍率为 ×64。</t>
        </is>
      </c>
      <c r="T75" s="15" t="inlineStr">
        <is>
          <t>升华扩展 I</t>
        </is>
      </c>
      <c r="U75" s="15" t="b">
        <v>0</v>
      </c>
      <c r="V75" s="15" t="inlineStr">
        <is>
          <t>每一级都是独立按钮（max_rank=1）；不要压成一个可连点等级字段。</t>
        </is>
      </c>
      <c r="W75" s="15" t="inlineStr">
        <is>
          <t>cost = 650K × 5e+08；解锁持有数=150。</t>
        </is>
      </c>
    </row>
    <row r="76" ht="36" customHeight="1">
      <c r="A76" s="15" t="inlineStr">
        <is>
          <t>prod_crystal_07</t>
        </is>
      </c>
      <c r="B76" s="15" t="inlineStr">
        <is>
          <t>水晶矿·深层网络</t>
        </is>
      </c>
      <c r="C76" s="31" t="inlineStr">
        <is>
          <t>矿物产能</t>
        </is>
      </c>
      <c r="D76" s="15" t="inlineStr">
        <is>
          <t>crystal</t>
        </is>
      </c>
      <c r="E76" s="15" t="n">
        <v>7</v>
      </c>
      <c r="F76" s="15" t="inlineStr">
        <is>
          <t>prod_crystal_06</t>
        </is>
      </c>
      <c r="G76" s="15" t="inlineStr">
        <is>
          <t>meta_abyssal_mining</t>
        </is>
      </c>
      <c r="H76" s="15" t="inlineStr">
        <is>
          <t>crystal_owned ≥ 200</t>
        </is>
      </c>
      <c r="I76" s="15" t="inlineStr">
        <is>
          <t>金币</t>
        </is>
      </c>
      <c r="J76" s="33" t="n">
        <v>3.25e+17</v>
      </c>
      <c r="K76" s="15" t="inlineStr">
        <is>
          <t>325Qa</t>
        </is>
      </c>
      <c r="L76" s="32" t="n">
        <v>3.25</v>
      </c>
      <c r="M76" s="15" t="n">
        <v>17</v>
      </c>
      <c r="N76" s="15" t="inlineStr">
        <is>
          <t>BUILDING_CPS_MULT</t>
        </is>
      </c>
      <c r="O76" s="15" t="inlineStr">
        <is>
          <t>crystal</t>
        </is>
      </c>
      <c r="P76" s="15" t="inlineStr">
        <is>
          <t>MULTIPLY</t>
        </is>
      </c>
      <c r="Q76" s="15" t="n">
        <v>2</v>
      </c>
      <c r="R76" s="15" t="inlineStr"/>
      <c r="S76" s="15" t="inlineStr">
        <is>
          <t>所有已拥有的水晶矿自动建筑产量 ×2；购买后该矿常规升级累计倍率为 ×128。</t>
        </is>
      </c>
      <c r="T76" s="15" t="inlineStr">
        <is>
          <t>大数阶段</t>
        </is>
      </c>
      <c r="U76" s="15" t="b">
        <v>0</v>
      </c>
      <c r="V76" s="15" t="inlineStr">
        <is>
          <t>每一级都是独立按钮（max_rank=1）；不要压成一个可连点等级字段。</t>
        </is>
      </c>
      <c r="W76" s="15" t="inlineStr">
        <is>
          <t>cost = 650K × 5e+11；解锁持有数=200。</t>
        </is>
      </c>
    </row>
    <row r="77" ht="36" customHeight="1">
      <c r="A77" s="15" t="inlineStr">
        <is>
          <t>prod_crystal_08</t>
        </is>
      </c>
      <c r="B77" s="15" t="inlineStr">
        <is>
          <t>水晶矿·量子提炼</t>
        </is>
      </c>
      <c r="C77" s="31" t="inlineStr">
        <is>
          <t>矿物产能</t>
        </is>
      </c>
      <c r="D77" s="15" t="inlineStr">
        <is>
          <t>crystal</t>
        </is>
      </c>
      <c r="E77" s="15" t="n">
        <v>8</v>
      </c>
      <c r="F77" s="15" t="inlineStr">
        <is>
          <t>prod_crystal_07</t>
        </is>
      </c>
      <c r="G77" s="15" t="inlineStr">
        <is>
          <t>meta_abyssal_mining</t>
        </is>
      </c>
      <c r="H77" s="15" t="inlineStr">
        <is>
          <t>crystal_owned ≥ 250</t>
        </is>
      </c>
      <c r="I77" s="15" t="inlineStr">
        <is>
          <t>金币</t>
        </is>
      </c>
      <c r="J77" s="33" t="n">
        <v>3.25e+20</v>
      </c>
      <c r="K77" s="15" t="inlineStr">
        <is>
          <t>325Qi</t>
        </is>
      </c>
      <c r="L77" s="32" t="n">
        <v>3.25</v>
      </c>
      <c r="M77" s="15" t="n">
        <v>20</v>
      </c>
      <c r="N77" s="15" t="inlineStr">
        <is>
          <t>BUILDING_CPS_MULT</t>
        </is>
      </c>
      <c r="O77" s="15" t="inlineStr">
        <is>
          <t>crystal</t>
        </is>
      </c>
      <c r="P77" s="15" t="inlineStr">
        <is>
          <t>MULTIPLY</t>
        </is>
      </c>
      <c r="Q77" s="15" t="n">
        <v>2</v>
      </c>
      <c r="R77" s="15" t="inlineStr"/>
      <c r="S77" s="15" t="inlineStr">
        <is>
          <t>所有已拥有的水晶矿自动建筑产量 ×2；购买后该矿常规升级累计倍率为 ×256。</t>
        </is>
      </c>
      <c r="T77" s="15" t="inlineStr">
        <is>
          <t>大数阶段</t>
        </is>
      </c>
      <c r="U77" s="34" t="b">
        <v>1</v>
      </c>
      <c r="V77" s="15" t="inlineStr">
        <is>
          <t>每一级都是独立按钮（max_rank=1）；不要压成一个可连点等级字段。</t>
        </is>
      </c>
      <c r="W77" s="15" t="inlineStr">
        <is>
          <t>cost = 650K × 5e+14；解锁持有数=250。</t>
        </is>
      </c>
    </row>
    <row r="78" ht="36" customHeight="1">
      <c r="A78" s="15" t="inlineStr">
        <is>
          <t>prod_crystal_09</t>
        </is>
      </c>
      <c r="B78" s="15" t="inlineStr">
        <is>
          <t>水晶矿·星核工艺</t>
        </is>
      </c>
      <c r="C78" s="31" t="inlineStr">
        <is>
          <t>矿物产能</t>
        </is>
      </c>
      <c r="D78" s="15" t="inlineStr">
        <is>
          <t>crystal</t>
        </is>
      </c>
      <c r="E78" s="15" t="n">
        <v>9</v>
      </c>
      <c r="F78" s="15" t="inlineStr">
        <is>
          <t>prod_crystal_08</t>
        </is>
      </c>
      <c r="G78" s="15" t="inlineStr">
        <is>
          <t>meta_abyssal_mining</t>
        </is>
      </c>
      <c r="H78" s="15" t="inlineStr">
        <is>
          <t>crystal_owned ≥ 300</t>
        </is>
      </c>
      <c r="I78" s="15" t="inlineStr">
        <is>
          <t>金币</t>
        </is>
      </c>
      <c r="J78" s="33" t="n">
        <v>3.25e+23</v>
      </c>
      <c r="K78" s="15" t="inlineStr">
        <is>
          <t>3.250e+23</t>
        </is>
      </c>
      <c r="L78" s="32" t="n">
        <v>3.25</v>
      </c>
      <c r="M78" s="15" t="n">
        <v>23</v>
      </c>
      <c r="N78" s="15" t="inlineStr">
        <is>
          <t>BUILDING_CPS_MULT</t>
        </is>
      </c>
      <c r="O78" s="15" t="inlineStr">
        <is>
          <t>crystal</t>
        </is>
      </c>
      <c r="P78" s="15" t="inlineStr">
        <is>
          <t>MULTIPLY</t>
        </is>
      </c>
      <c r="Q78" s="15" t="n">
        <v>2</v>
      </c>
      <c r="R78" s="15" t="inlineStr"/>
      <c r="S78" s="15" t="inlineStr">
        <is>
          <t>所有已拥有的水晶矿自动建筑产量 ×2；购买后该矿常规升级累计倍率为 ×512。</t>
        </is>
      </c>
      <c r="T78" s="15" t="inlineStr">
        <is>
          <t>大数阶段</t>
        </is>
      </c>
      <c r="U78" s="34" t="b">
        <v>1</v>
      </c>
      <c r="V78" s="15" t="inlineStr">
        <is>
          <t>每一级都是独立按钮（max_rank=1）；不要压成一个可连点等级字段。</t>
        </is>
      </c>
      <c r="W78" s="15" t="inlineStr">
        <is>
          <t>cost = 650K × 5e+17；解锁持有数=300。</t>
        </is>
      </c>
    </row>
    <row r="79" ht="36" customHeight="1">
      <c r="A79" s="15" t="inlineStr">
        <is>
          <t>prod_crystal_10</t>
        </is>
      </c>
      <c r="B79" s="15" t="inlineStr">
        <is>
          <t>水晶矿·维度开采</t>
        </is>
      </c>
      <c r="C79" s="31" t="inlineStr">
        <is>
          <t>矿物产能</t>
        </is>
      </c>
      <c r="D79" s="15" t="inlineStr">
        <is>
          <t>crystal</t>
        </is>
      </c>
      <c r="E79" s="15" t="n">
        <v>10</v>
      </c>
      <c r="F79" s="15" t="inlineStr">
        <is>
          <t>prod_crystal_09</t>
        </is>
      </c>
      <c r="G79" s="15" t="inlineStr">
        <is>
          <t>meta_abyssal_mining</t>
        </is>
      </c>
      <c r="H79" s="15" t="inlineStr">
        <is>
          <t>crystal_owned ≥ 350</t>
        </is>
      </c>
      <c r="I79" s="15" t="inlineStr">
        <is>
          <t>金币</t>
        </is>
      </c>
      <c r="J79" s="33" t="n">
        <v>3.25e+26</v>
      </c>
      <c r="K79" s="15" t="inlineStr">
        <is>
          <t>3.250e+26</t>
        </is>
      </c>
      <c r="L79" s="32" t="n">
        <v>3.25</v>
      </c>
      <c r="M79" s="15" t="n">
        <v>26</v>
      </c>
      <c r="N79" s="15" t="inlineStr">
        <is>
          <t>BUILDING_CPS_MULT</t>
        </is>
      </c>
      <c r="O79" s="15" t="inlineStr">
        <is>
          <t>crystal</t>
        </is>
      </c>
      <c r="P79" s="15" t="inlineStr">
        <is>
          <t>MULTIPLY</t>
        </is>
      </c>
      <c r="Q79" s="15" t="n">
        <v>2</v>
      </c>
      <c r="R79" s="15" t="inlineStr"/>
      <c r="S79" s="15" t="inlineStr">
        <is>
          <t>所有已拥有的水晶矿自动建筑产量 ×2；购买后该矿常规升级累计倍率为 ×1,024。</t>
        </is>
      </c>
      <c r="T79" s="15" t="inlineStr">
        <is>
          <t>大数阶段</t>
        </is>
      </c>
      <c r="U79" s="34" t="b">
        <v>1</v>
      </c>
      <c r="V79" s="15" t="inlineStr">
        <is>
          <t>每一级都是独立按钮（max_rank=1）；不要压成一个可连点等级字段。</t>
        </is>
      </c>
      <c r="W79" s="15" t="inlineStr">
        <is>
          <t>cost = 650K × 5e+20；解锁持有数=350。</t>
        </is>
      </c>
    </row>
    <row r="80" ht="36" customHeight="1">
      <c r="A80" s="15" t="inlineStr">
        <is>
          <t>prod_crystal_11</t>
        </is>
      </c>
      <c r="B80" s="15" t="inlineStr">
        <is>
          <t>水晶矿·时间压缩</t>
        </is>
      </c>
      <c r="C80" s="31" t="inlineStr">
        <is>
          <t>矿物产能</t>
        </is>
      </c>
      <c r="D80" s="15" t="inlineStr">
        <is>
          <t>crystal</t>
        </is>
      </c>
      <c r="E80" s="15" t="n">
        <v>11</v>
      </c>
      <c r="F80" s="15" t="inlineStr">
        <is>
          <t>prod_crystal_10</t>
        </is>
      </c>
      <c r="G80" s="15" t="inlineStr">
        <is>
          <t>meta_endless_mining</t>
        </is>
      </c>
      <c r="H80" s="15" t="inlineStr">
        <is>
          <t>crystal_owned ≥ 400</t>
        </is>
      </c>
      <c r="I80" s="15" t="inlineStr">
        <is>
          <t>金币</t>
        </is>
      </c>
      <c r="J80" s="33" t="n">
        <v>3.250000000000001e+30</v>
      </c>
      <c r="K80" s="15" t="inlineStr">
        <is>
          <t>3.250e+30</t>
        </is>
      </c>
      <c r="L80" s="32" t="n">
        <v>3.25</v>
      </c>
      <c r="M80" s="15" t="n">
        <v>30</v>
      </c>
      <c r="N80" s="15" t="inlineStr">
        <is>
          <t>BUILDING_CPS_MULT</t>
        </is>
      </c>
      <c r="O80" s="15" t="inlineStr">
        <is>
          <t>crystal</t>
        </is>
      </c>
      <c r="P80" s="15" t="inlineStr">
        <is>
          <t>MULTIPLY</t>
        </is>
      </c>
      <c r="Q80" s="15" t="n">
        <v>2</v>
      </c>
      <c r="R80" s="15" t="inlineStr"/>
      <c r="S80" s="15" t="inlineStr">
        <is>
          <t>所有已拥有的水晶矿自动建筑产量 ×2；购买后该矿常规升级累计倍率为 ×2,048。</t>
        </is>
      </c>
      <c r="T80" s="15" t="inlineStr">
        <is>
          <t>终局阶段</t>
        </is>
      </c>
      <c r="U80" s="34" t="b">
        <v>1</v>
      </c>
      <c r="V80" s="15" t="inlineStr">
        <is>
          <t>每一级都是独立按钮（max_rank=1）；不要压成一个可连点等级字段。</t>
        </is>
      </c>
      <c r="W80" s="15" t="inlineStr">
        <is>
          <t>cost = 650K × 5e+24；解锁持有数=400。</t>
        </is>
      </c>
    </row>
    <row r="81" ht="36" customHeight="1">
      <c r="A81" s="15" t="inlineStr">
        <is>
          <t>prod_crystal_12</t>
        </is>
      </c>
      <c r="B81" s="15" t="inlineStr">
        <is>
          <t>水晶矿·因果矿脉</t>
        </is>
      </c>
      <c r="C81" s="31" t="inlineStr">
        <is>
          <t>矿物产能</t>
        </is>
      </c>
      <c r="D81" s="15" t="inlineStr">
        <is>
          <t>crystal</t>
        </is>
      </c>
      <c r="E81" s="15" t="n">
        <v>12</v>
      </c>
      <c r="F81" s="15" t="inlineStr">
        <is>
          <t>prod_crystal_11</t>
        </is>
      </c>
      <c r="G81" s="15" t="inlineStr">
        <is>
          <t>meta_endless_mining</t>
        </is>
      </c>
      <c r="H81" s="15" t="inlineStr">
        <is>
          <t>crystal_owned ≥ 450</t>
        </is>
      </c>
      <c r="I81" s="15" t="inlineStr">
        <is>
          <t>金币</t>
        </is>
      </c>
      <c r="J81" s="33" t="n">
        <v>3.25e+34</v>
      </c>
      <c r="K81" s="15" t="inlineStr">
        <is>
          <t>3.250e+34</t>
        </is>
      </c>
      <c r="L81" s="32" t="n">
        <v>3.25</v>
      </c>
      <c r="M81" s="15" t="n">
        <v>34</v>
      </c>
      <c r="N81" s="15" t="inlineStr">
        <is>
          <t>BUILDING_CPS_MULT</t>
        </is>
      </c>
      <c r="O81" s="15" t="inlineStr">
        <is>
          <t>crystal</t>
        </is>
      </c>
      <c r="P81" s="15" t="inlineStr">
        <is>
          <t>MULTIPLY</t>
        </is>
      </c>
      <c r="Q81" s="15" t="n">
        <v>2</v>
      </c>
      <c r="R81" s="15" t="inlineStr"/>
      <c r="S81" s="15" t="inlineStr">
        <is>
          <t>所有已拥有的水晶矿自动建筑产量 ×2；购买后该矿常规升级累计倍率为 ×4,096。</t>
        </is>
      </c>
      <c r="T81" s="15" t="inlineStr">
        <is>
          <t>终局阶段</t>
        </is>
      </c>
      <c r="U81" s="34" t="b">
        <v>1</v>
      </c>
      <c r="V81" s="15" t="inlineStr">
        <is>
          <t>每一级都是独立按钮（max_rank=1）；不要压成一个可连点等级字段。</t>
        </is>
      </c>
      <c r="W81" s="15" t="inlineStr">
        <is>
          <t>cost = 650K × 5e+28；解锁持有数=450。</t>
        </is>
      </c>
    </row>
    <row r="82" ht="36" customHeight="1">
      <c r="A82" s="15" t="inlineStr">
        <is>
          <t>prod_crystal_13</t>
        </is>
      </c>
      <c r="B82" s="15" t="inlineStr">
        <is>
          <t>水晶矿·无限矿区</t>
        </is>
      </c>
      <c r="C82" s="31" t="inlineStr">
        <is>
          <t>矿物产能</t>
        </is>
      </c>
      <c r="D82" s="15" t="inlineStr">
        <is>
          <t>crystal</t>
        </is>
      </c>
      <c r="E82" s="15" t="n">
        <v>13</v>
      </c>
      <c r="F82" s="15" t="inlineStr">
        <is>
          <t>prod_crystal_12</t>
        </is>
      </c>
      <c r="G82" s="15" t="inlineStr">
        <is>
          <t>meta_endless_mining</t>
        </is>
      </c>
      <c r="H82" s="15" t="inlineStr">
        <is>
          <t>crystal_owned ≥ 500</t>
        </is>
      </c>
      <c r="I82" s="15" t="inlineStr">
        <is>
          <t>金币</t>
        </is>
      </c>
      <c r="J82" s="33" t="n">
        <v>3.25e+38</v>
      </c>
      <c r="K82" s="15" t="inlineStr">
        <is>
          <t>3.250e+38</t>
        </is>
      </c>
      <c r="L82" s="32" t="n">
        <v>3.25</v>
      </c>
      <c r="M82" s="15" t="n">
        <v>38</v>
      </c>
      <c r="N82" s="15" t="inlineStr">
        <is>
          <t>BUILDING_CPS_MULT</t>
        </is>
      </c>
      <c r="O82" s="15" t="inlineStr">
        <is>
          <t>crystal</t>
        </is>
      </c>
      <c r="P82" s="15" t="inlineStr">
        <is>
          <t>MULTIPLY</t>
        </is>
      </c>
      <c r="Q82" s="15" t="n">
        <v>2</v>
      </c>
      <c r="R82" s="15" t="inlineStr"/>
      <c r="S82" s="15" t="inlineStr">
        <is>
          <t>所有已拥有的水晶矿自动建筑产量 ×2；购买后该矿常规升级累计倍率为 ×8,192。</t>
        </is>
      </c>
      <c r="T82" s="15" t="inlineStr">
        <is>
          <t>终局阶段</t>
        </is>
      </c>
      <c r="U82" s="34" t="b">
        <v>1</v>
      </c>
      <c r="V82" s="15" t="inlineStr">
        <is>
          <t>每一级都是独立按钮（max_rank=1）；不要压成一个可连点等级字段。</t>
        </is>
      </c>
      <c r="W82" s="15" t="inlineStr">
        <is>
          <t>cost = 650K × 5e+32；解锁持有数=500。</t>
        </is>
      </c>
    </row>
    <row r="83" ht="36" customHeight="1">
      <c r="A83" s="15" t="inlineStr">
        <is>
          <t>prod_crystal_14</t>
        </is>
      </c>
      <c r="B83" s="15" t="inlineStr">
        <is>
          <t>水晶矿·概念提炼</t>
        </is>
      </c>
      <c r="C83" s="31" t="inlineStr">
        <is>
          <t>矿物产能</t>
        </is>
      </c>
      <c r="D83" s="15" t="inlineStr">
        <is>
          <t>crystal</t>
        </is>
      </c>
      <c r="E83" s="15" t="n">
        <v>14</v>
      </c>
      <c r="F83" s="15" t="inlineStr">
        <is>
          <t>prod_crystal_13</t>
        </is>
      </c>
      <c r="G83" s="15" t="inlineStr">
        <is>
          <t>meta_endless_mining</t>
        </is>
      </c>
      <c r="H83" s="15" t="inlineStr">
        <is>
          <t>crystal_owned ≥ 550</t>
        </is>
      </c>
      <c r="I83" s="15" t="inlineStr">
        <is>
          <t>金币</t>
        </is>
      </c>
      <c r="J83" s="33" t="n">
        <v>3.25e+42</v>
      </c>
      <c r="K83" s="15" t="inlineStr">
        <is>
          <t>3.250e+42</t>
        </is>
      </c>
      <c r="L83" s="32" t="n">
        <v>3.25</v>
      </c>
      <c r="M83" s="15" t="n">
        <v>42</v>
      </c>
      <c r="N83" s="15" t="inlineStr">
        <is>
          <t>BUILDING_CPS_MULT</t>
        </is>
      </c>
      <c r="O83" s="15" t="inlineStr">
        <is>
          <t>crystal</t>
        </is>
      </c>
      <c r="P83" s="15" t="inlineStr">
        <is>
          <t>MULTIPLY</t>
        </is>
      </c>
      <c r="Q83" s="15" t="n">
        <v>2</v>
      </c>
      <c r="R83" s="15" t="inlineStr"/>
      <c r="S83" s="15" t="inlineStr">
        <is>
          <t>所有已拥有的水晶矿自动建筑产量 ×2；购买后该矿常规升级累计倍率为 ×16,384。</t>
        </is>
      </c>
      <c r="T83" s="15" t="inlineStr">
        <is>
          <t>终局阶段</t>
        </is>
      </c>
      <c r="U83" s="34" t="b">
        <v>1</v>
      </c>
      <c r="V83" s="15" t="inlineStr">
        <is>
          <t>每一级都是独立按钮（max_rank=1）；不要压成一个可连点等级字段。</t>
        </is>
      </c>
      <c r="W83" s="15" t="inlineStr">
        <is>
          <t>cost = 650K × 5e+36；解锁持有数=550。</t>
        </is>
      </c>
    </row>
    <row r="84" ht="36" customHeight="1">
      <c r="A84" s="15" t="inlineStr">
        <is>
          <t>prod_crystal_15</t>
        </is>
      </c>
      <c r="B84" s="15" t="inlineStr">
        <is>
          <t>水晶矿·终极产能</t>
        </is>
      </c>
      <c r="C84" s="31" t="inlineStr">
        <is>
          <t>矿物产能</t>
        </is>
      </c>
      <c r="D84" s="15" t="inlineStr">
        <is>
          <t>crystal</t>
        </is>
      </c>
      <c r="E84" s="15" t="n">
        <v>15</v>
      </c>
      <c r="F84" s="15" t="inlineStr">
        <is>
          <t>prod_crystal_14</t>
        </is>
      </c>
      <c r="G84" s="15" t="inlineStr">
        <is>
          <t>meta_endless_mining</t>
        </is>
      </c>
      <c r="H84" s="15" t="inlineStr">
        <is>
          <t>crystal_owned ≥ 600</t>
        </is>
      </c>
      <c r="I84" s="15" t="inlineStr">
        <is>
          <t>金币</t>
        </is>
      </c>
      <c r="J84" s="33" t="n">
        <v>3.25e+46</v>
      </c>
      <c r="K84" s="15" t="inlineStr">
        <is>
          <t>3.250e+46</t>
        </is>
      </c>
      <c r="L84" s="32" t="n">
        <v>3.25</v>
      </c>
      <c r="M84" s="15" t="n">
        <v>46</v>
      </c>
      <c r="N84" s="15" t="inlineStr">
        <is>
          <t>BUILDING_CPS_MULT</t>
        </is>
      </c>
      <c r="O84" s="15" t="inlineStr">
        <is>
          <t>crystal</t>
        </is>
      </c>
      <c r="P84" s="15" t="inlineStr">
        <is>
          <t>MULTIPLY</t>
        </is>
      </c>
      <c r="Q84" s="15" t="n">
        <v>2</v>
      </c>
      <c r="R84" s="15" t="inlineStr"/>
      <c r="S84" s="15" t="inlineStr">
        <is>
          <t>所有已拥有的水晶矿自动建筑产量 ×2；购买后该矿常规升级累计倍率为 ×32,768。</t>
        </is>
      </c>
      <c r="T84" s="15" t="inlineStr">
        <is>
          <t>终局阶段</t>
        </is>
      </c>
      <c r="U84" s="34" t="b">
        <v>1</v>
      </c>
      <c r="V84" s="15" t="inlineStr">
        <is>
          <t>每一级都是独立按钮（max_rank=1）；不要压成一个可连点等级字段。</t>
        </is>
      </c>
      <c r="W84" s="15" t="inlineStr">
        <is>
          <t>cost = 650K × 5e+40；解锁持有数=600。</t>
        </is>
      </c>
    </row>
    <row r="85" ht="36" customHeight="1">
      <c r="A85" s="15" t="inlineStr">
        <is>
          <t>unlock_obsidian</t>
        </is>
      </c>
      <c r="B85" s="15" t="inlineStr">
        <is>
          <t>解锁·黑曜石</t>
        </is>
      </c>
      <c r="C85" s="31" t="inlineStr">
        <is>
          <t>矿物解锁</t>
        </is>
      </c>
      <c r="D85" s="15" t="inlineStr">
        <is>
          <t>obsidian</t>
        </is>
      </c>
      <c r="E85" s="15" t="inlineStr">
        <is>
          <t>Unlock</t>
        </is>
      </c>
      <c r="F85" s="15" t="inlineStr">
        <is>
          <t>unlock_crystal</t>
        </is>
      </c>
      <c r="G85" s="15" t="inlineStr"/>
      <c r="H85" s="15" t="inlineStr">
        <is>
          <t>crystal_owned ≥ 15</t>
        </is>
      </c>
      <c r="I85" s="15" t="inlineStr">
        <is>
          <t>金币</t>
        </is>
      </c>
      <c r="J85" s="20" t="n">
        <v>3500000</v>
      </c>
      <c r="K85" s="15" t="inlineStr">
        <is>
          <t>3.5M</t>
        </is>
      </c>
      <c r="L85" s="32" t="n">
        <v>3.5</v>
      </c>
      <c r="M85" s="15" t="n">
        <v>6</v>
      </c>
      <c r="N85" s="15" t="inlineStr">
        <is>
          <t>UNLOCK_PRODUCER_AND_ORE</t>
        </is>
      </c>
      <c r="O85" s="15" t="inlineStr">
        <is>
          <t>obsidian</t>
        </is>
      </c>
      <c r="P85" s="15" t="inlineStr">
        <is>
          <t>UNLOCK</t>
        </is>
      </c>
      <c r="Q85" s="15" t="n">
        <v>1</v>
      </c>
      <c r="R85" s="15" t="inlineStr"/>
      <c r="S85" s="15" t="inlineStr">
        <is>
          <t>解锁黑曜石自动建筑商店，并允许实体 obsidian 进入自然落矿池；该实体矿的Lv1~3同时允许。</t>
        </is>
      </c>
      <c r="T85" s="15" t="inlineStr">
        <is>
          <t>本轮核心</t>
        </is>
      </c>
      <c r="U85" s="15" t="b">
        <v>0</v>
      </c>
      <c r="V85" s="15" t="inlineStr">
        <is>
          <t>当前DefDb会加载全部矿物；V3必须在建筑商店与roll_ore两处同时校验。</t>
        </is>
      </c>
      <c r="W85" s="15" t="inlineStr">
        <is>
          <t>Coal免费；其余解锁成本严格等于该矿BasePrice×0.5，不再做有效数字取整。</t>
        </is>
      </c>
    </row>
    <row r="86" ht="36" customHeight="1">
      <c r="A86" s="15" t="inlineStr">
        <is>
          <t>prod_obsidian_01</t>
        </is>
      </c>
      <c r="B86" s="15" t="inlineStr">
        <is>
          <t>黑曜石·基础工具</t>
        </is>
      </c>
      <c r="C86" s="31" t="inlineStr">
        <is>
          <t>矿物产能</t>
        </is>
      </c>
      <c r="D86" s="15" t="inlineStr">
        <is>
          <t>obsidian</t>
        </is>
      </c>
      <c r="E86" s="15" t="n">
        <v>1</v>
      </c>
      <c r="F86" s="15" t="inlineStr">
        <is>
          <t>unlock_obsidian</t>
        </is>
      </c>
      <c r="G86" s="15" t="inlineStr"/>
      <c r="H86" s="15" t="inlineStr">
        <is>
          <t>obsidian_owned ≥ 1</t>
        </is>
      </c>
      <c r="I86" s="15" t="inlineStr">
        <is>
          <t>金币</t>
        </is>
      </c>
      <c r="J86" s="20" t="n">
        <v>70000000</v>
      </c>
      <c r="K86" s="15" t="inlineStr">
        <is>
          <t>70M</t>
        </is>
      </c>
      <c r="L86" s="32" t="n">
        <v>7</v>
      </c>
      <c r="M86" s="15" t="n">
        <v>7</v>
      </c>
      <c r="N86" s="15" t="inlineStr">
        <is>
          <t>BUILDING_CPS_MULT</t>
        </is>
      </c>
      <c r="O86" s="15" t="inlineStr">
        <is>
          <t>obsidian</t>
        </is>
      </c>
      <c r="P86" s="15" t="inlineStr">
        <is>
          <t>MULTIPLY</t>
        </is>
      </c>
      <c r="Q86" s="15" t="n">
        <v>2</v>
      </c>
      <c r="R86" s="15" t="inlineStr"/>
      <c r="S86" s="15" t="inlineStr">
        <is>
          <t>所有已拥有的黑曜石自动建筑产量 ×2；购买后该矿常规升级累计倍率为 ×2。</t>
        </is>
      </c>
      <c r="T86" s="15" t="inlineStr">
        <is>
          <t>本轮核心</t>
        </is>
      </c>
      <c r="U86" s="15" t="b">
        <v>0</v>
      </c>
      <c r="V86" s="15" t="inlineStr">
        <is>
          <t>每一级都是独立按钮（max_rank=1）；不要压成一个可连点等级字段。</t>
        </is>
      </c>
      <c r="W86" s="15" t="inlineStr">
        <is>
          <t>cost = 7M × 1e+01；解锁持有数=1。</t>
        </is>
      </c>
    </row>
    <row r="87" ht="36" customHeight="1">
      <c r="A87" s="15" t="inlineStr">
        <is>
          <t>prod_obsidian_02</t>
        </is>
      </c>
      <c r="B87" s="15" t="inlineStr">
        <is>
          <t>黑曜石·标准流程</t>
        </is>
      </c>
      <c r="C87" s="31" t="inlineStr">
        <is>
          <t>矿物产能</t>
        </is>
      </c>
      <c r="D87" s="15" t="inlineStr">
        <is>
          <t>obsidian</t>
        </is>
      </c>
      <c r="E87" s="15" t="n">
        <v>2</v>
      </c>
      <c r="F87" s="15" t="inlineStr">
        <is>
          <t>prod_obsidian_01</t>
        </is>
      </c>
      <c r="G87" s="15" t="inlineStr"/>
      <c r="H87" s="15" t="inlineStr">
        <is>
          <t>obsidian_owned ≥ 5</t>
        </is>
      </c>
      <c r="I87" s="15" t="inlineStr">
        <is>
          <t>金币</t>
        </is>
      </c>
      <c r="J87" s="20" t="n">
        <v>350000000</v>
      </c>
      <c r="K87" s="15" t="inlineStr">
        <is>
          <t>350M</t>
        </is>
      </c>
      <c r="L87" s="32" t="n">
        <v>3.5</v>
      </c>
      <c r="M87" s="15" t="n">
        <v>8</v>
      </c>
      <c r="N87" s="15" t="inlineStr">
        <is>
          <t>BUILDING_CPS_MULT</t>
        </is>
      </c>
      <c r="O87" s="15" t="inlineStr">
        <is>
          <t>obsidian</t>
        </is>
      </c>
      <c r="P87" s="15" t="inlineStr">
        <is>
          <t>MULTIPLY</t>
        </is>
      </c>
      <c r="Q87" s="15" t="n">
        <v>2</v>
      </c>
      <c r="R87" s="15" t="inlineStr"/>
      <c r="S87" s="15" t="inlineStr">
        <is>
          <t>所有已拥有的黑曜石自动建筑产量 ×2；购买后该矿常规升级累计倍率为 ×4。</t>
        </is>
      </c>
      <c r="T87" s="15" t="inlineStr">
        <is>
          <t>本轮核心</t>
        </is>
      </c>
      <c r="U87" s="15" t="b">
        <v>0</v>
      </c>
      <c r="V87" s="15" t="inlineStr">
        <is>
          <t>每一级都是独立按钮（max_rank=1）；不要压成一个可连点等级字段。</t>
        </is>
      </c>
      <c r="W87" s="15" t="inlineStr">
        <is>
          <t>cost = 7M × 5e+01；解锁持有数=5。</t>
        </is>
      </c>
    </row>
    <row r="88" ht="36" customHeight="1">
      <c r="A88" s="15" t="inlineStr">
        <is>
          <t>prod_obsidian_03</t>
        </is>
      </c>
      <c r="B88" s="15" t="inlineStr">
        <is>
          <t>黑曜石·机械化</t>
        </is>
      </c>
      <c r="C88" s="31" t="inlineStr">
        <is>
          <t>矿物产能</t>
        </is>
      </c>
      <c r="D88" s="15" t="inlineStr">
        <is>
          <t>obsidian</t>
        </is>
      </c>
      <c r="E88" s="15" t="n">
        <v>3</v>
      </c>
      <c r="F88" s="15" t="inlineStr">
        <is>
          <t>prod_obsidian_02</t>
        </is>
      </c>
      <c r="G88" s="15" t="inlineStr"/>
      <c r="H88" s="15" t="inlineStr">
        <is>
          <t>obsidian_owned ≥ 25</t>
        </is>
      </c>
      <c r="I88" s="15" t="inlineStr">
        <is>
          <t>金币</t>
        </is>
      </c>
      <c r="J88" s="20" t="n">
        <v>3500000000</v>
      </c>
      <c r="K88" s="15" t="inlineStr">
        <is>
          <t>3.5B</t>
        </is>
      </c>
      <c r="L88" s="32" t="n">
        <v>3.5</v>
      </c>
      <c r="M88" s="15" t="n">
        <v>9</v>
      </c>
      <c r="N88" s="15" t="inlineStr">
        <is>
          <t>BUILDING_CPS_MULT</t>
        </is>
      </c>
      <c r="O88" s="15" t="inlineStr">
        <is>
          <t>obsidian</t>
        </is>
      </c>
      <c r="P88" s="15" t="inlineStr">
        <is>
          <t>MULTIPLY</t>
        </is>
      </c>
      <c r="Q88" s="15" t="n">
        <v>2</v>
      </c>
      <c r="R88" s="15" t="inlineStr"/>
      <c r="S88" s="15" t="inlineStr">
        <is>
          <t>所有已拥有的黑曜石自动建筑产量 ×2；购买后该矿常规升级累计倍率为 ×8。</t>
        </is>
      </c>
      <c r="T88" s="15" t="inlineStr">
        <is>
          <t>本轮核心</t>
        </is>
      </c>
      <c r="U88" s="15" t="b">
        <v>0</v>
      </c>
      <c r="V88" s="15" t="inlineStr">
        <is>
          <t>每一级都是独立按钮（max_rank=1）；不要压成一个可连点等级字段。</t>
        </is>
      </c>
      <c r="W88" s="15" t="inlineStr">
        <is>
          <t>cost = 7M × 5e+02；解锁持有数=25。</t>
        </is>
      </c>
    </row>
    <row r="89" ht="36" customHeight="1">
      <c r="A89" s="15" t="inlineStr">
        <is>
          <t>prod_obsidian_04</t>
        </is>
      </c>
      <c r="B89" s="15" t="inlineStr">
        <is>
          <t>黑曜石·精密钻探</t>
        </is>
      </c>
      <c r="C89" s="31" t="inlineStr">
        <is>
          <t>矿物产能</t>
        </is>
      </c>
      <c r="D89" s="15" t="inlineStr">
        <is>
          <t>obsidian</t>
        </is>
      </c>
      <c r="E89" s="15" t="n">
        <v>4</v>
      </c>
      <c r="F89" s="15" t="inlineStr">
        <is>
          <t>prod_obsidian_03</t>
        </is>
      </c>
      <c r="G89" s="15" t="inlineStr"/>
      <c r="H89" s="15" t="inlineStr">
        <is>
          <t>obsidian_owned ≥ 50</t>
        </is>
      </c>
      <c r="I89" s="15" t="inlineStr">
        <is>
          <t>金币</t>
        </is>
      </c>
      <c r="J89" s="20" t="n">
        <v>350000000000</v>
      </c>
      <c r="K89" s="15" t="inlineStr">
        <is>
          <t>350B</t>
        </is>
      </c>
      <c r="L89" s="32" t="n">
        <v>3.5</v>
      </c>
      <c r="M89" s="15" t="n">
        <v>11</v>
      </c>
      <c r="N89" s="15" t="inlineStr">
        <is>
          <t>BUILDING_CPS_MULT</t>
        </is>
      </c>
      <c r="O89" s="15" t="inlineStr">
        <is>
          <t>obsidian</t>
        </is>
      </c>
      <c r="P89" s="15" t="inlineStr">
        <is>
          <t>MULTIPLY</t>
        </is>
      </c>
      <c r="Q89" s="15" t="n">
        <v>2</v>
      </c>
      <c r="R89" s="15" t="inlineStr"/>
      <c r="S89" s="15" t="inlineStr">
        <is>
          <t>所有已拥有的黑曜石自动建筑产量 ×2；购买后该矿常规升级累计倍率为 ×16。</t>
        </is>
      </c>
      <c r="T89" s="15" t="inlineStr">
        <is>
          <t>本轮核心</t>
        </is>
      </c>
      <c r="U89" s="15" t="b">
        <v>0</v>
      </c>
      <c r="V89" s="15" t="inlineStr">
        <is>
          <t>每一级都是独立按钮（max_rank=1）；不要压成一个可连点等级字段。</t>
        </is>
      </c>
      <c r="W89" s="15" t="inlineStr">
        <is>
          <t>cost = 7M × 5e+04；解锁持有数=50。</t>
        </is>
      </c>
    </row>
    <row r="90" ht="36" customHeight="1">
      <c r="A90" s="15" t="inlineStr">
        <is>
          <t>prod_obsidian_05</t>
        </is>
      </c>
      <c r="B90" s="15" t="inlineStr">
        <is>
          <t>黑曜石·工业扩建</t>
        </is>
      </c>
      <c r="C90" s="31" t="inlineStr">
        <is>
          <t>矿物产能</t>
        </is>
      </c>
      <c r="D90" s="15" t="inlineStr">
        <is>
          <t>obsidian</t>
        </is>
      </c>
      <c r="E90" s="15" t="n">
        <v>5</v>
      </c>
      <c r="F90" s="15" t="inlineStr">
        <is>
          <t>prod_obsidian_04</t>
        </is>
      </c>
      <c r="G90" s="15" t="inlineStr">
        <is>
          <t>meta_deep_mining</t>
        </is>
      </c>
      <c r="H90" s="15" t="inlineStr">
        <is>
          <t>obsidian_owned ≥ 100</t>
        </is>
      </c>
      <c r="I90" s="15" t="inlineStr">
        <is>
          <t>金币</t>
        </is>
      </c>
      <c r="J90" s="20" t="n">
        <v>35000000000000</v>
      </c>
      <c r="K90" s="15" t="inlineStr">
        <is>
          <t>35T</t>
        </is>
      </c>
      <c r="L90" s="32" t="n">
        <v>3.5</v>
      </c>
      <c r="M90" s="15" t="n">
        <v>13</v>
      </c>
      <c r="N90" s="15" t="inlineStr">
        <is>
          <t>BUILDING_CPS_MULT</t>
        </is>
      </c>
      <c r="O90" s="15" t="inlineStr">
        <is>
          <t>obsidian</t>
        </is>
      </c>
      <c r="P90" s="15" t="inlineStr">
        <is>
          <t>MULTIPLY</t>
        </is>
      </c>
      <c r="Q90" s="15" t="n">
        <v>2</v>
      </c>
      <c r="R90" s="15" t="inlineStr"/>
      <c r="S90" s="15" t="inlineStr">
        <is>
          <t>所有已拥有的黑曜石自动建筑产量 ×2；购买后该矿常规升级累计倍率为 ×32。</t>
        </is>
      </c>
      <c r="T90" s="15" t="inlineStr">
        <is>
          <t>升华扩展 I</t>
        </is>
      </c>
      <c r="U90" s="15" t="b">
        <v>0</v>
      </c>
      <c r="V90" s="15" t="inlineStr">
        <is>
          <t>每一级都是独立按钮（max_rank=1）；不要压成一个可连点等级字段。</t>
        </is>
      </c>
      <c r="W90" s="15" t="inlineStr">
        <is>
          <t>cost = 7M × 5e+06；解锁持有数=100。</t>
        </is>
      </c>
    </row>
    <row r="91" ht="36" customHeight="1">
      <c r="A91" s="15" t="inlineStr">
        <is>
          <t>prod_obsidian_06</t>
        </is>
      </c>
      <c r="B91" s="15" t="inlineStr">
        <is>
          <t>黑曜石·自动调度</t>
        </is>
      </c>
      <c r="C91" s="31" t="inlineStr">
        <is>
          <t>矿物产能</t>
        </is>
      </c>
      <c r="D91" s="15" t="inlineStr">
        <is>
          <t>obsidian</t>
        </is>
      </c>
      <c r="E91" s="15" t="n">
        <v>6</v>
      </c>
      <c r="F91" s="15" t="inlineStr">
        <is>
          <t>prod_obsidian_05</t>
        </is>
      </c>
      <c r="G91" s="15" t="inlineStr">
        <is>
          <t>meta_deep_mining</t>
        </is>
      </c>
      <c r="H91" s="15" t="inlineStr">
        <is>
          <t>obsidian_owned ≥ 150</t>
        </is>
      </c>
      <c r="I91" s="15" t="inlineStr">
        <is>
          <t>金币</t>
        </is>
      </c>
      <c r="J91" s="33" t="n">
        <v>3500000000000000</v>
      </c>
      <c r="K91" s="15" t="inlineStr">
        <is>
          <t>3.5Qa</t>
        </is>
      </c>
      <c r="L91" s="32" t="n">
        <v>3.5</v>
      </c>
      <c r="M91" s="15" t="n">
        <v>15</v>
      </c>
      <c r="N91" s="15" t="inlineStr">
        <is>
          <t>BUILDING_CPS_MULT</t>
        </is>
      </c>
      <c r="O91" s="15" t="inlineStr">
        <is>
          <t>obsidian</t>
        </is>
      </c>
      <c r="P91" s="15" t="inlineStr">
        <is>
          <t>MULTIPLY</t>
        </is>
      </c>
      <c r="Q91" s="15" t="n">
        <v>2</v>
      </c>
      <c r="R91" s="15" t="inlineStr"/>
      <c r="S91" s="15" t="inlineStr">
        <is>
          <t>所有已拥有的黑曜石自动建筑产量 ×2；购买后该矿常规升级累计倍率为 ×64。</t>
        </is>
      </c>
      <c r="T91" s="15" t="inlineStr">
        <is>
          <t>升华扩展 I</t>
        </is>
      </c>
      <c r="U91" s="15" t="b">
        <v>0</v>
      </c>
      <c r="V91" s="15" t="inlineStr">
        <is>
          <t>每一级都是独立按钮（max_rank=1）；不要压成一个可连点等级字段。</t>
        </is>
      </c>
      <c r="W91" s="15" t="inlineStr">
        <is>
          <t>cost = 7M × 5e+08；解锁持有数=150。</t>
        </is>
      </c>
    </row>
    <row r="92" ht="36" customHeight="1">
      <c r="A92" s="15" t="inlineStr">
        <is>
          <t>prod_obsidian_07</t>
        </is>
      </c>
      <c r="B92" s="15" t="inlineStr">
        <is>
          <t>黑曜石·深层网络</t>
        </is>
      </c>
      <c r="C92" s="31" t="inlineStr">
        <is>
          <t>矿物产能</t>
        </is>
      </c>
      <c r="D92" s="15" t="inlineStr">
        <is>
          <t>obsidian</t>
        </is>
      </c>
      <c r="E92" s="15" t="n">
        <v>7</v>
      </c>
      <c r="F92" s="15" t="inlineStr">
        <is>
          <t>prod_obsidian_06</t>
        </is>
      </c>
      <c r="G92" s="15" t="inlineStr">
        <is>
          <t>meta_abyssal_mining</t>
        </is>
      </c>
      <c r="H92" s="15" t="inlineStr">
        <is>
          <t>obsidian_owned ≥ 200</t>
        </is>
      </c>
      <c r="I92" s="15" t="inlineStr">
        <is>
          <t>金币</t>
        </is>
      </c>
      <c r="J92" s="33" t="n">
        <v>3.5e+18</v>
      </c>
      <c r="K92" s="15" t="inlineStr">
        <is>
          <t>3.5Qi</t>
        </is>
      </c>
      <c r="L92" s="32" t="n">
        <v>3.5</v>
      </c>
      <c r="M92" s="15" t="n">
        <v>18</v>
      </c>
      <c r="N92" s="15" t="inlineStr">
        <is>
          <t>BUILDING_CPS_MULT</t>
        </is>
      </c>
      <c r="O92" s="15" t="inlineStr">
        <is>
          <t>obsidian</t>
        </is>
      </c>
      <c r="P92" s="15" t="inlineStr">
        <is>
          <t>MULTIPLY</t>
        </is>
      </c>
      <c r="Q92" s="15" t="n">
        <v>2</v>
      </c>
      <c r="R92" s="15" t="inlineStr"/>
      <c r="S92" s="15" t="inlineStr">
        <is>
          <t>所有已拥有的黑曜石自动建筑产量 ×2；购买后该矿常规升级累计倍率为 ×128。</t>
        </is>
      </c>
      <c r="T92" s="15" t="inlineStr">
        <is>
          <t>大数阶段</t>
        </is>
      </c>
      <c r="U92" s="15" t="b">
        <v>0</v>
      </c>
      <c r="V92" s="15" t="inlineStr">
        <is>
          <t>每一级都是独立按钮（max_rank=1）；不要压成一个可连点等级字段。</t>
        </is>
      </c>
      <c r="W92" s="15" t="inlineStr">
        <is>
          <t>cost = 7M × 5e+11；解锁持有数=200。</t>
        </is>
      </c>
    </row>
    <row r="93" ht="36" customHeight="1">
      <c r="A93" s="15" t="inlineStr">
        <is>
          <t>prod_obsidian_08</t>
        </is>
      </c>
      <c r="B93" s="15" t="inlineStr">
        <is>
          <t>黑曜石·量子提炼</t>
        </is>
      </c>
      <c r="C93" s="31" t="inlineStr">
        <is>
          <t>矿物产能</t>
        </is>
      </c>
      <c r="D93" s="15" t="inlineStr">
        <is>
          <t>obsidian</t>
        </is>
      </c>
      <c r="E93" s="15" t="n">
        <v>8</v>
      </c>
      <c r="F93" s="15" t="inlineStr">
        <is>
          <t>prod_obsidian_07</t>
        </is>
      </c>
      <c r="G93" s="15" t="inlineStr">
        <is>
          <t>meta_abyssal_mining</t>
        </is>
      </c>
      <c r="H93" s="15" t="inlineStr">
        <is>
          <t>obsidian_owned ≥ 250</t>
        </is>
      </c>
      <c r="I93" s="15" t="inlineStr">
        <is>
          <t>金币</t>
        </is>
      </c>
      <c r="J93" s="33" t="n">
        <v>3.5e+21</v>
      </c>
      <c r="K93" s="15" t="inlineStr">
        <is>
          <t>3.500e+21</t>
        </is>
      </c>
      <c r="L93" s="32" t="n">
        <v>3.5</v>
      </c>
      <c r="M93" s="15" t="n">
        <v>21</v>
      </c>
      <c r="N93" s="15" t="inlineStr">
        <is>
          <t>BUILDING_CPS_MULT</t>
        </is>
      </c>
      <c r="O93" s="15" t="inlineStr">
        <is>
          <t>obsidian</t>
        </is>
      </c>
      <c r="P93" s="15" t="inlineStr">
        <is>
          <t>MULTIPLY</t>
        </is>
      </c>
      <c r="Q93" s="15" t="n">
        <v>2</v>
      </c>
      <c r="R93" s="15" t="inlineStr"/>
      <c r="S93" s="15" t="inlineStr">
        <is>
          <t>所有已拥有的黑曜石自动建筑产量 ×2；购买后该矿常规升级累计倍率为 ×256。</t>
        </is>
      </c>
      <c r="T93" s="15" t="inlineStr">
        <is>
          <t>大数阶段</t>
        </is>
      </c>
      <c r="U93" s="34" t="b">
        <v>1</v>
      </c>
      <c r="V93" s="15" t="inlineStr">
        <is>
          <t>每一级都是独立按钮（max_rank=1）；不要压成一个可连点等级字段。</t>
        </is>
      </c>
      <c r="W93" s="15" t="inlineStr">
        <is>
          <t>cost = 7M × 5e+14；解锁持有数=250。</t>
        </is>
      </c>
    </row>
    <row r="94" ht="36" customHeight="1">
      <c r="A94" s="15" t="inlineStr">
        <is>
          <t>prod_obsidian_09</t>
        </is>
      </c>
      <c r="B94" s="15" t="inlineStr">
        <is>
          <t>黑曜石·星核工艺</t>
        </is>
      </c>
      <c r="C94" s="31" t="inlineStr">
        <is>
          <t>矿物产能</t>
        </is>
      </c>
      <c r="D94" s="15" t="inlineStr">
        <is>
          <t>obsidian</t>
        </is>
      </c>
      <c r="E94" s="15" t="n">
        <v>9</v>
      </c>
      <c r="F94" s="15" t="inlineStr">
        <is>
          <t>prod_obsidian_08</t>
        </is>
      </c>
      <c r="G94" s="15" t="inlineStr">
        <is>
          <t>meta_abyssal_mining</t>
        </is>
      </c>
      <c r="H94" s="15" t="inlineStr">
        <is>
          <t>obsidian_owned ≥ 300</t>
        </is>
      </c>
      <c r="I94" s="15" t="inlineStr">
        <is>
          <t>金币</t>
        </is>
      </c>
      <c r="J94" s="33" t="n">
        <v>3.5e+24</v>
      </c>
      <c r="K94" s="15" t="inlineStr">
        <is>
          <t>3.500e+24</t>
        </is>
      </c>
      <c r="L94" s="32" t="n">
        <v>3.5</v>
      </c>
      <c r="M94" s="15" t="n">
        <v>24</v>
      </c>
      <c r="N94" s="15" t="inlineStr">
        <is>
          <t>BUILDING_CPS_MULT</t>
        </is>
      </c>
      <c r="O94" s="15" t="inlineStr">
        <is>
          <t>obsidian</t>
        </is>
      </c>
      <c r="P94" s="15" t="inlineStr">
        <is>
          <t>MULTIPLY</t>
        </is>
      </c>
      <c r="Q94" s="15" t="n">
        <v>2</v>
      </c>
      <c r="R94" s="15" t="inlineStr"/>
      <c r="S94" s="15" t="inlineStr">
        <is>
          <t>所有已拥有的黑曜石自动建筑产量 ×2；购买后该矿常规升级累计倍率为 ×512。</t>
        </is>
      </c>
      <c r="T94" s="15" t="inlineStr">
        <is>
          <t>大数阶段</t>
        </is>
      </c>
      <c r="U94" s="34" t="b">
        <v>1</v>
      </c>
      <c r="V94" s="15" t="inlineStr">
        <is>
          <t>每一级都是独立按钮（max_rank=1）；不要压成一个可连点等级字段。</t>
        </is>
      </c>
      <c r="W94" s="15" t="inlineStr">
        <is>
          <t>cost = 7M × 5e+17；解锁持有数=300。</t>
        </is>
      </c>
    </row>
    <row r="95" ht="36" customHeight="1">
      <c r="A95" s="15" t="inlineStr">
        <is>
          <t>prod_obsidian_10</t>
        </is>
      </c>
      <c r="B95" s="15" t="inlineStr">
        <is>
          <t>黑曜石·维度开采</t>
        </is>
      </c>
      <c r="C95" s="31" t="inlineStr">
        <is>
          <t>矿物产能</t>
        </is>
      </c>
      <c r="D95" s="15" t="inlineStr">
        <is>
          <t>obsidian</t>
        </is>
      </c>
      <c r="E95" s="15" t="n">
        <v>10</v>
      </c>
      <c r="F95" s="15" t="inlineStr">
        <is>
          <t>prod_obsidian_09</t>
        </is>
      </c>
      <c r="G95" s="15" t="inlineStr">
        <is>
          <t>meta_abyssal_mining</t>
        </is>
      </c>
      <c r="H95" s="15" t="inlineStr">
        <is>
          <t>obsidian_owned ≥ 350</t>
        </is>
      </c>
      <c r="I95" s="15" t="inlineStr">
        <is>
          <t>金币</t>
        </is>
      </c>
      <c r="J95" s="33" t="n">
        <v>3.5e+27</v>
      </c>
      <c r="K95" s="15" t="inlineStr">
        <is>
          <t>3.500e+27</t>
        </is>
      </c>
      <c r="L95" s="32" t="n">
        <v>3.5</v>
      </c>
      <c r="M95" s="15" t="n">
        <v>27</v>
      </c>
      <c r="N95" s="15" t="inlineStr">
        <is>
          <t>BUILDING_CPS_MULT</t>
        </is>
      </c>
      <c r="O95" s="15" t="inlineStr">
        <is>
          <t>obsidian</t>
        </is>
      </c>
      <c r="P95" s="15" t="inlineStr">
        <is>
          <t>MULTIPLY</t>
        </is>
      </c>
      <c r="Q95" s="15" t="n">
        <v>2</v>
      </c>
      <c r="R95" s="15" t="inlineStr"/>
      <c r="S95" s="15" t="inlineStr">
        <is>
          <t>所有已拥有的黑曜石自动建筑产量 ×2；购买后该矿常规升级累计倍率为 ×1,024。</t>
        </is>
      </c>
      <c r="T95" s="15" t="inlineStr">
        <is>
          <t>大数阶段</t>
        </is>
      </c>
      <c r="U95" s="34" t="b">
        <v>1</v>
      </c>
      <c r="V95" s="15" t="inlineStr">
        <is>
          <t>每一级都是独立按钮（max_rank=1）；不要压成一个可连点等级字段。</t>
        </is>
      </c>
      <c r="W95" s="15" t="inlineStr">
        <is>
          <t>cost = 7M × 5e+20；解锁持有数=350。</t>
        </is>
      </c>
    </row>
    <row r="96" ht="36" customHeight="1">
      <c r="A96" s="15" t="inlineStr">
        <is>
          <t>prod_obsidian_11</t>
        </is>
      </c>
      <c r="B96" s="15" t="inlineStr">
        <is>
          <t>黑曜石·时间压缩</t>
        </is>
      </c>
      <c r="C96" s="31" t="inlineStr">
        <is>
          <t>矿物产能</t>
        </is>
      </c>
      <c r="D96" s="15" t="inlineStr">
        <is>
          <t>obsidian</t>
        </is>
      </c>
      <c r="E96" s="15" t="n">
        <v>11</v>
      </c>
      <c r="F96" s="15" t="inlineStr">
        <is>
          <t>prod_obsidian_10</t>
        </is>
      </c>
      <c r="G96" s="15" t="inlineStr">
        <is>
          <t>meta_endless_mining</t>
        </is>
      </c>
      <c r="H96" s="15" t="inlineStr">
        <is>
          <t>obsidian_owned ≥ 400</t>
        </is>
      </c>
      <c r="I96" s="15" t="inlineStr">
        <is>
          <t>金币</t>
        </is>
      </c>
      <c r="J96" s="33" t="n">
        <v>3.5e+31</v>
      </c>
      <c r="K96" s="15" t="inlineStr">
        <is>
          <t>3.500e+31</t>
        </is>
      </c>
      <c r="L96" s="32" t="n">
        <v>3.5</v>
      </c>
      <c r="M96" s="15" t="n">
        <v>31</v>
      </c>
      <c r="N96" s="15" t="inlineStr">
        <is>
          <t>BUILDING_CPS_MULT</t>
        </is>
      </c>
      <c r="O96" s="15" t="inlineStr">
        <is>
          <t>obsidian</t>
        </is>
      </c>
      <c r="P96" s="15" t="inlineStr">
        <is>
          <t>MULTIPLY</t>
        </is>
      </c>
      <c r="Q96" s="15" t="n">
        <v>2</v>
      </c>
      <c r="R96" s="15" t="inlineStr"/>
      <c r="S96" s="15" t="inlineStr">
        <is>
          <t>所有已拥有的黑曜石自动建筑产量 ×2；购买后该矿常规升级累计倍率为 ×2,048。</t>
        </is>
      </c>
      <c r="T96" s="15" t="inlineStr">
        <is>
          <t>终局阶段</t>
        </is>
      </c>
      <c r="U96" s="34" t="b">
        <v>1</v>
      </c>
      <c r="V96" s="15" t="inlineStr">
        <is>
          <t>每一级都是独立按钮（max_rank=1）；不要压成一个可连点等级字段。</t>
        </is>
      </c>
      <c r="W96" s="15" t="inlineStr">
        <is>
          <t>cost = 7M × 5e+24；解锁持有数=400。</t>
        </is>
      </c>
    </row>
    <row r="97" ht="36" customHeight="1">
      <c r="A97" s="15" t="inlineStr">
        <is>
          <t>prod_obsidian_12</t>
        </is>
      </c>
      <c r="B97" s="15" t="inlineStr">
        <is>
          <t>黑曜石·因果矿脉</t>
        </is>
      </c>
      <c r="C97" s="31" t="inlineStr">
        <is>
          <t>矿物产能</t>
        </is>
      </c>
      <c r="D97" s="15" t="inlineStr">
        <is>
          <t>obsidian</t>
        </is>
      </c>
      <c r="E97" s="15" t="n">
        <v>12</v>
      </c>
      <c r="F97" s="15" t="inlineStr">
        <is>
          <t>prod_obsidian_11</t>
        </is>
      </c>
      <c r="G97" s="15" t="inlineStr">
        <is>
          <t>meta_endless_mining</t>
        </is>
      </c>
      <c r="H97" s="15" t="inlineStr">
        <is>
          <t>obsidian_owned ≥ 450</t>
        </is>
      </c>
      <c r="I97" s="15" t="inlineStr">
        <is>
          <t>金币</t>
        </is>
      </c>
      <c r="J97" s="33" t="n">
        <v>3.499999999999999e+35</v>
      </c>
      <c r="K97" s="15" t="inlineStr">
        <is>
          <t>3.500e+35</t>
        </is>
      </c>
      <c r="L97" s="32" t="n">
        <v>3.5</v>
      </c>
      <c r="M97" s="15" t="n">
        <v>35</v>
      </c>
      <c r="N97" s="15" t="inlineStr">
        <is>
          <t>BUILDING_CPS_MULT</t>
        </is>
      </c>
      <c r="O97" s="15" t="inlineStr">
        <is>
          <t>obsidian</t>
        </is>
      </c>
      <c r="P97" s="15" t="inlineStr">
        <is>
          <t>MULTIPLY</t>
        </is>
      </c>
      <c r="Q97" s="15" t="n">
        <v>2</v>
      </c>
      <c r="R97" s="15" t="inlineStr"/>
      <c r="S97" s="15" t="inlineStr">
        <is>
          <t>所有已拥有的黑曜石自动建筑产量 ×2；购买后该矿常规升级累计倍率为 ×4,096。</t>
        </is>
      </c>
      <c r="T97" s="15" t="inlineStr">
        <is>
          <t>终局阶段</t>
        </is>
      </c>
      <c r="U97" s="34" t="b">
        <v>1</v>
      </c>
      <c r="V97" s="15" t="inlineStr">
        <is>
          <t>每一级都是独立按钮（max_rank=1）；不要压成一个可连点等级字段。</t>
        </is>
      </c>
      <c r="W97" s="15" t="inlineStr">
        <is>
          <t>cost = 7M × 5e+28；解锁持有数=450。</t>
        </is>
      </c>
    </row>
    <row r="98" ht="36" customHeight="1">
      <c r="A98" s="15" t="inlineStr">
        <is>
          <t>prod_obsidian_13</t>
        </is>
      </c>
      <c r="B98" s="15" t="inlineStr">
        <is>
          <t>黑曜石·无限矿区</t>
        </is>
      </c>
      <c r="C98" s="31" t="inlineStr">
        <is>
          <t>矿物产能</t>
        </is>
      </c>
      <c r="D98" s="15" t="inlineStr">
        <is>
          <t>obsidian</t>
        </is>
      </c>
      <c r="E98" s="15" t="n">
        <v>13</v>
      </c>
      <c r="F98" s="15" t="inlineStr">
        <is>
          <t>prod_obsidian_12</t>
        </is>
      </c>
      <c r="G98" s="15" t="inlineStr">
        <is>
          <t>meta_endless_mining</t>
        </is>
      </c>
      <c r="H98" s="15" t="inlineStr">
        <is>
          <t>obsidian_owned ≥ 500</t>
        </is>
      </c>
      <c r="I98" s="15" t="inlineStr">
        <is>
          <t>金币</t>
        </is>
      </c>
      <c r="J98" s="33" t="n">
        <v>3.5e+39</v>
      </c>
      <c r="K98" s="15" t="inlineStr">
        <is>
          <t>3.500e+39</t>
        </is>
      </c>
      <c r="L98" s="32" t="n">
        <v>3.5</v>
      </c>
      <c r="M98" s="15" t="n">
        <v>39</v>
      </c>
      <c r="N98" s="15" t="inlineStr">
        <is>
          <t>BUILDING_CPS_MULT</t>
        </is>
      </c>
      <c r="O98" s="15" t="inlineStr">
        <is>
          <t>obsidian</t>
        </is>
      </c>
      <c r="P98" s="15" t="inlineStr">
        <is>
          <t>MULTIPLY</t>
        </is>
      </c>
      <c r="Q98" s="15" t="n">
        <v>2</v>
      </c>
      <c r="R98" s="15" t="inlineStr"/>
      <c r="S98" s="15" t="inlineStr">
        <is>
          <t>所有已拥有的黑曜石自动建筑产量 ×2；购买后该矿常规升级累计倍率为 ×8,192。</t>
        </is>
      </c>
      <c r="T98" s="15" t="inlineStr">
        <is>
          <t>终局阶段</t>
        </is>
      </c>
      <c r="U98" s="34" t="b">
        <v>1</v>
      </c>
      <c r="V98" s="15" t="inlineStr">
        <is>
          <t>每一级都是独立按钮（max_rank=1）；不要压成一个可连点等级字段。</t>
        </is>
      </c>
      <c r="W98" s="15" t="inlineStr">
        <is>
          <t>cost = 7M × 5e+32；解锁持有数=500。</t>
        </is>
      </c>
    </row>
    <row r="99" ht="36" customHeight="1">
      <c r="A99" s="15" t="inlineStr">
        <is>
          <t>prod_obsidian_14</t>
        </is>
      </c>
      <c r="B99" s="15" t="inlineStr">
        <is>
          <t>黑曜石·概念提炼</t>
        </is>
      </c>
      <c r="C99" s="31" t="inlineStr">
        <is>
          <t>矿物产能</t>
        </is>
      </c>
      <c r="D99" s="15" t="inlineStr">
        <is>
          <t>obsidian</t>
        </is>
      </c>
      <c r="E99" s="15" t="n">
        <v>14</v>
      </c>
      <c r="F99" s="15" t="inlineStr">
        <is>
          <t>prod_obsidian_13</t>
        </is>
      </c>
      <c r="G99" s="15" t="inlineStr">
        <is>
          <t>meta_endless_mining</t>
        </is>
      </c>
      <c r="H99" s="15" t="inlineStr">
        <is>
          <t>obsidian_owned ≥ 550</t>
        </is>
      </c>
      <c r="I99" s="15" t="inlineStr">
        <is>
          <t>金币</t>
        </is>
      </c>
      <c r="J99" s="33" t="n">
        <v>3.5e+43</v>
      </c>
      <c r="K99" s="15" t="inlineStr">
        <is>
          <t>3.500e+43</t>
        </is>
      </c>
      <c r="L99" s="32" t="n">
        <v>3.5</v>
      </c>
      <c r="M99" s="15" t="n">
        <v>43</v>
      </c>
      <c r="N99" s="15" t="inlineStr">
        <is>
          <t>BUILDING_CPS_MULT</t>
        </is>
      </c>
      <c r="O99" s="15" t="inlineStr">
        <is>
          <t>obsidian</t>
        </is>
      </c>
      <c r="P99" s="15" t="inlineStr">
        <is>
          <t>MULTIPLY</t>
        </is>
      </c>
      <c r="Q99" s="15" t="n">
        <v>2</v>
      </c>
      <c r="R99" s="15" t="inlineStr"/>
      <c r="S99" s="15" t="inlineStr">
        <is>
          <t>所有已拥有的黑曜石自动建筑产量 ×2；购买后该矿常规升级累计倍率为 ×16,384。</t>
        </is>
      </c>
      <c r="T99" s="15" t="inlineStr">
        <is>
          <t>终局阶段</t>
        </is>
      </c>
      <c r="U99" s="34" t="b">
        <v>1</v>
      </c>
      <c r="V99" s="15" t="inlineStr">
        <is>
          <t>每一级都是独立按钮（max_rank=1）；不要压成一个可连点等级字段。</t>
        </is>
      </c>
      <c r="W99" s="15" t="inlineStr">
        <is>
          <t>cost = 7M × 5e+36；解锁持有数=550。</t>
        </is>
      </c>
    </row>
    <row r="100" ht="36" customHeight="1">
      <c r="A100" s="15" t="inlineStr">
        <is>
          <t>prod_obsidian_15</t>
        </is>
      </c>
      <c r="B100" s="15" t="inlineStr">
        <is>
          <t>黑曜石·终极产能</t>
        </is>
      </c>
      <c r="C100" s="31" t="inlineStr">
        <is>
          <t>矿物产能</t>
        </is>
      </c>
      <c r="D100" s="15" t="inlineStr">
        <is>
          <t>obsidian</t>
        </is>
      </c>
      <c r="E100" s="15" t="n">
        <v>15</v>
      </c>
      <c r="F100" s="15" t="inlineStr">
        <is>
          <t>prod_obsidian_14</t>
        </is>
      </c>
      <c r="G100" s="15" t="inlineStr">
        <is>
          <t>meta_endless_mining</t>
        </is>
      </c>
      <c r="H100" s="15" t="inlineStr">
        <is>
          <t>obsidian_owned ≥ 600</t>
        </is>
      </c>
      <c r="I100" s="15" t="inlineStr">
        <is>
          <t>金币</t>
        </is>
      </c>
      <c r="J100" s="33" t="n">
        <v>3.5e+47</v>
      </c>
      <c r="K100" s="15" t="inlineStr">
        <is>
          <t>3.500e+47</t>
        </is>
      </c>
      <c r="L100" s="32" t="n">
        <v>3.5</v>
      </c>
      <c r="M100" s="15" t="n">
        <v>47</v>
      </c>
      <c r="N100" s="15" t="inlineStr">
        <is>
          <t>BUILDING_CPS_MULT</t>
        </is>
      </c>
      <c r="O100" s="15" t="inlineStr">
        <is>
          <t>obsidian</t>
        </is>
      </c>
      <c r="P100" s="15" t="inlineStr">
        <is>
          <t>MULTIPLY</t>
        </is>
      </c>
      <c r="Q100" s="15" t="n">
        <v>2</v>
      </c>
      <c r="R100" s="15" t="inlineStr"/>
      <c r="S100" s="15" t="inlineStr">
        <is>
          <t>所有已拥有的黑曜石自动建筑产量 ×2；购买后该矿常规升级累计倍率为 ×32,768。</t>
        </is>
      </c>
      <c r="T100" s="15" t="inlineStr">
        <is>
          <t>终局阶段</t>
        </is>
      </c>
      <c r="U100" s="34" t="b">
        <v>1</v>
      </c>
      <c r="V100" s="15" t="inlineStr">
        <is>
          <t>每一级都是独立按钮（max_rank=1）；不要压成一个可连点等级字段。</t>
        </is>
      </c>
      <c r="W100" s="15" t="inlineStr">
        <is>
          <t>cost = 7M × 5e+40；解锁持有数=600。</t>
        </is>
      </c>
    </row>
    <row r="101" ht="36" customHeight="1">
      <c r="A101" s="15" t="inlineStr">
        <is>
          <t>unlock_diamond</t>
        </is>
      </c>
      <c r="B101" s="15" t="inlineStr">
        <is>
          <t>解锁·钻石矿</t>
        </is>
      </c>
      <c r="C101" s="31" t="inlineStr">
        <is>
          <t>矿物解锁</t>
        </is>
      </c>
      <c r="D101" s="15" t="inlineStr">
        <is>
          <t>diamond</t>
        </is>
      </c>
      <c r="E101" s="15" t="inlineStr">
        <is>
          <t>Unlock</t>
        </is>
      </c>
      <c r="F101" s="15" t="inlineStr">
        <is>
          <t>unlock_obsidian</t>
        </is>
      </c>
      <c r="G101" s="15" t="inlineStr"/>
      <c r="H101" s="15" t="inlineStr">
        <is>
          <t>obsidian_owned ≥ 15</t>
        </is>
      </c>
      <c r="I101" s="15" t="inlineStr">
        <is>
          <t>金币</t>
        </is>
      </c>
      <c r="J101" s="20" t="n">
        <v>50000000</v>
      </c>
      <c r="K101" s="15" t="inlineStr">
        <is>
          <t>50M</t>
        </is>
      </c>
      <c r="L101" s="32" t="n">
        <v>5</v>
      </c>
      <c r="M101" s="15" t="n">
        <v>7</v>
      </c>
      <c r="N101" s="15" t="inlineStr">
        <is>
          <t>UNLOCK_PRODUCER_AND_ORE</t>
        </is>
      </c>
      <c r="O101" s="15" t="inlineStr">
        <is>
          <t>diamond</t>
        </is>
      </c>
      <c r="P101" s="15" t="inlineStr">
        <is>
          <t>UNLOCK</t>
        </is>
      </c>
      <c r="Q101" s="15" t="n">
        <v>1</v>
      </c>
      <c r="R101" s="15" t="inlineStr"/>
      <c r="S101" s="15" t="inlineStr">
        <is>
          <t>解锁钻石矿自动建筑商店，并允许实体 diamond 进入自然落矿池；该实体矿的Lv1~3同时允许。</t>
        </is>
      </c>
      <c r="T101" s="15" t="inlineStr">
        <is>
          <t>本轮核心</t>
        </is>
      </c>
      <c r="U101" s="15" t="b">
        <v>0</v>
      </c>
      <c r="V101" s="15" t="inlineStr">
        <is>
          <t>当前DefDb会加载全部矿物；V3必须在建筑商店与roll_ore两处同时校验。</t>
        </is>
      </c>
      <c r="W101" s="15" t="inlineStr">
        <is>
          <t>Coal免费；其余解锁成本严格等于该矿BasePrice×0.5，不再做有效数字取整。</t>
        </is>
      </c>
    </row>
    <row r="102" ht="36" customHeight="1">
      <c r="A102" s="15" t="inlineStr">
        <is>
          <t>prod_diamond_01</t>
        </is>
      </c>
      <c r="B102" s="15" t="inlineStr">
        <is>
          <t>钻石矿·基础工具</t>
        </is>
      </c>
      <c r="C102" s="31" t="inlineStr">
        <is>
          <t>矿物产能</t>
        </is>
      </c>
      <c r="D102" s="15" t="inlineStr">
        <is>
          <t>diamond</t>
        </is>
      </c>
      <c r="E102" s="15" t="n">
        <v>1</v>
      </c>
      <c r="F102" s="15" t="inlineStr">
        <is>
          <t>unlock_diamond</t>
        </is>
      </c>
      <c r="G102" s="15" t="inlineStr"/>
      <c r="H102" s="15" t="inlineStr">
        <is>
          <t>diamond_owned ≥ 1</t>
        </is>
      </c>
      <c r="I102" s="15" t="inlineStr">
        <is>
          <t>金币</t>
        </is>
      </c>
      <c r="J102" s="20" t="n">
        <v>1000000000</v>
      </c>
      <c r="K102" s="15" t="inlineStr">
        <is>
          <t>1B</t>
        </is>
      </c>
      <c r="L102" s="32" t="n">
        <v>1</v>
      </c>
      <c r="M102" s="15" t="n">
        <v>9</v>
      </c>
      <c r="N102" s="15" t="inlineStr">
        <is>
          <t>BUILDING_CPS_MULT</t>
        </is>
      </c>
      <c r="O102" s="15" t="inlineStr">
        <is>
          <t>diamond</t>
        </is>
      </c>
      <c r="P102" s="15" t="inlineStr">
        <is>
          <t>MULTIPLY</t>
        </is>
      </c>
      <c r="Q102" s="15" t="n">
        <v>2</v>
      </c>
      <c r="R102" s="15" t="inlineStr"/>
      <c r="S102" s="15" t="inlineStr">
        <is>
          <t>所有已拥有的钻石矿自动建筑产量 ×2；购买后该矿常规升级累计倍率为 ×2。</t>
        </is>
      </c>
      <c r="T102" s="15" t="inlineStr">
        <is>
          <t>本轮核心</t>
        </is>
      </c>
      <c r="U102" s="15" t="b">
        <v>0</v>
      </c>
      <c r="V102" s="15" t="inlineStr">
        <is>
          <t>每一级都是独立按钮（max_rank=1）；不要压成一个可连点等级字段。</t>
        </is>
      </c>
      <c r="W102" s="15" t="inlineStr">
        <is>
          <t>cost = 100M × 1e+01；解锁持有数=1。</t>
        </is>
      </c>
    </row>
    <row r="103" ht="36" customHeight="1">
      <c r="A103" s="15" t="inlineStr">
        <is>
          <t>prod_diamond_02</t>
        </is>
      </c>
      <c r="B103" s="15" t="inlineStr">
        <is>
          <t>钻石矿·标准流程</t>
        </is>
      </c>
      <c r="C103" s="31" t="inlineStr">
        <is>
          <t>矿物产能</t>
        </is>
      </c>
      <c r="D103" s="15" t="inlineStr">
        <is>
          <t>diamond</t>
        </is>
      </c>
      <c r="E103" s="15" t="n">
        <v>2</v>
      </c>
      <c r="F103" s="15" t="inlineStr">
        <is>
          <t>prod_diamond_01</t>
        </is>
      </c>
      <c r="G103" s="15" t="inlineStr"/>
      <c r="H103" s="15" t="inlineStr">
        <is>
          <t>diamond_owned ≥ 5</t>
        </is>
      </c>
      <c r="I103" s="15" t="inlineStr">
        <is>
          <t>金币</t>
        </is>
      </c>
      <c r="J103" s="20" t="n">
        <v>5000000000</v>
      </c>
      <c r="K103" s="15" t="inlineStr">
        <is>
          <t>5B</t>
        </is>
      </c>
      <c r="L103" s="32" t="n">
        <v>5</v>
      </c>
      <c r="M103" s="15" t="n">
        <v>9</v>
      </c>
      <c r="N103" s="15" t="inlineStr">
        <is>
          <t>BUILDING_CPS_MULT</t>
        </is>
      </c>
      <c r="O103" s="15" t="inlineStr">
        <is>
          <t>diamond</t>
        </is>
      </c>
      <c r="P103" s="15" t="inlineStr">
        <is>
          <t>MULTIPLY</t>
        </is>
      </c>
      <c r="Q103" s="15" t="n">
        <v>2</v>
      </c>
      <c r="R103" s="15" t="inlineStr"/>
      <c r="S103" s="15" t="inlineStr">
        <is>
          <t>所有已拥有的钻石矿自动建筑产量 ×2；购买后该矿常规升级累计倍率为 ×4。</t>
        </is>
      </c>
      <c r="T103" s="15" t="inlineStr">
        <is>
          <t>本轮核心</t>
        </is>
      </c>
      <c r="U103" s="15" t="b">
        <v>0</v>
      </c>
      <c r="V103" s="15" t="inlineStr">
        <is>
          <t>每一级都是独立按钮（max_rank=1）；不要压成一个可连点等级字段。</t>
        </is>
      </c>
      <c r="W103" s="15" t="inlineStr">
        <is>
          <t>cost = 100M × 5e+01；解锁持有数=5。</t>
        </is>
      </c>
    </row>
    <row r="104" ht="36" customHeight="1">
      <c r="A104" s="15" t="inlineStr">
        <is>
          <t>prod_diamond_03</t>
        </is>
      </c>
      <c r="B104" s="15" t="inlineStr">
        <is>
          <t>钻石矿·机械化</t>
        </is>
      </c>
      <c r="C104" s="31" t="inlineStr">
        <is>
          <t>矿物产能</t>
        </is>
      </c>
      <c r="D104" s="15" t="inlineStr">
        <is>
          <t>diamond</t>
        </is>
      </c>
      <c r="E104" s="15" t="n">
        <v>3</v>
      </c>
      <c r="F104" s="15" t="inlineStr">
        <is>
          <t>prod_diamond_02</t>
        </is>
      </c>
      <c r="G104" s="15" t="inlineStr"/>
      <c r="H104" s="15" t="inlineStr">
        <is>
          <t>diamond_owned ≥ 25</t>
        </is>
      </c>
      <c r="I104" s="15" t="inlineStr">
        <is>
          <t>金币</t>
        </is>
      </c>
      <c r="J104" s="20" t="n">
        <v>50000000000</v>
      </c>
      <c r="K104" s="15" t="inlineStr">
        <is>
          <t>50B</t>
        </is>
      </c>
      <c r="L104" s="32" t="n">
        <v>5</v>
      </c>
      <c r="M104" s="15" t="n">
        <v>10</v>
      </c>
      <c r="N104" s="15" t="inlineStr">
        <is>
          <t>BUILDING_CPS_MULT</t>
        </is>
      </c>
      <c r="O104" s="15" t="inlineStr">
        <is>
          <t>diamond</t>
        </is>
      </c>
      <c r="P104" s="15" t="inlineStr">
        <is>
          <t>MULTIPLY</t>
        </is>
      </c>
      <c r="Q104" s="15" t="n">
        <v>2</v>
      </c>
      <c r="R104" s="15" t="inlineStr"/>
      <c r="S104" s="15" t="inlineStr">
        <is>
          <t>所有已拥有的钻石矿自动建筑产量 ×2；购买后该矿常规升级累计倍率为 ×8。</t>
        </is>
      </c>
      <c r="T104" s="15" t="inlineStr">
        <is>
          <t>本轮核心</t>
        </is>
      </c>
      <c r="U104" s="15" t="b">
        <v>0</v>
      </c>
      <c r="V104" s="15" t="inlineStr">
        <is>
          <t>每一级都是独立按钮（max_rank=1）；不要压成一个可连点等级字段。</t>
        </is>
      </c>
      <c r="W104" s="15" t="inlineStr">
        <is>
          <t>cost = 100M × 5e+02；解锁持有数=25。</t>
        </is>
      </c>
    </row>
    <row r="105" ht="36" customHeight="1">
      <c r="A105" s="15" t="inlineStr">
        <is>
          <t>prod_diamond_04</t>
        </is>
      </c>
      <c r="B105" s="15" t="inlineStr">
        <is>
          <t>钻石矿·精密钻探</t>
        </is>
      </c>
      <c r="C105" s="31" t="inlineStr">
        <is>
          <t>矿物产能</t>
        </is>
      </c>
      <c r="D105" s="15" t="inlineStr">
        <is>
          <t>diamond</t>
        </is>
      </c>
      <c r="E105" s="15" t="n">
        <v>4</v>
      </c>
      <c r="F105" s="15" t="inlineStr">
        <is>
          <t>prod_diamond_03</t>
        </is>
      </c>
      <c r="G105" s="15" t="inlineStr"/>
      <c r="H105" s="15" t="inlineStr">
        <is>
          <t>diamond_owned ≥ 50</t>
        </is>
      </c>
      <c r="I105" s="15" t="inlineStr">
        <is>
          <t>金币</t>
        </is>
      </c>
      <c r="J105" s="20" t="n">
        <v>5000000000000</v>
      </c>
      <c r="K105" s="15" t="inlineStr">
        <is>
          <t>5T</t>
        </is>
      </c>
      <c r="L105" s="32" t="n">
        <v>5</v>
      </c>
      <c r="M105" s="15" t="n">
        <v>12</v>
      </c>
      <c r="N105" s="15" t="inlineStr">
        <is>
          <t>BUILDING_CPS_MULT</t>
        </is>
      </c>
      <c r="O105" s="15" t="inlineStr">
        <is>
          <t>diamond</t>
        </is>
      </c>
      <c r="P105" s="15" t="inlineStr">
        <is>
          <t>MULTIPLY</t>
        </is>
      </c>
      <c r="Q105" s="15" t="n">
        <v>2</v>
      </c>
      <c r="R105" s="15" t="inlineStr"/>
      <c r="S105" s="15" t="inlineStr">
        <is>
          <t>所有已拥有的钻石矿自动建筑产量 ×2；购买后该矿常规升级累计倍率为 ×16。</t>
        </is>
      </c>
      <c r="T105" s="15" t="inlineStr">
        <is>
          <t>本轮核心</t>
        </is>
      </c>
      <c r="U105" s="15" t="b">
        <v>0</v>
      </c>
      <c r="V105" s="15" t="inlineStr">
        <is>
          <t>每一级都是独立按钮（max_rank=1）；不要压成一个可连点等级字段。</t>
        </is>
      </c>
      <c r="W105" s="15" t="inlineStr">
        <is>
          <t>cost = 100M × 5e+04；解锁持有数=50。</t>
        </is>
      </c>
    </row>
    <row r="106" ht="36" customHeight="1">
      <c r="A106" s="15" t="inlineStr">
        <is>
          <t>prod_diamond_05</t>
        </is>
      </c>
      <c r="B106" s="15" t="inlineStr">
        <is>
          <t>钻石矿·工业扩建</t>
        </is>
      </c>
      <c r="C106" s="31" t="inlineStr">
        <is>
          <t>矿物产能</t>
        </is>
      </c>
      <c r="D106" s="15" t="inlineStr">
        <is>
          <t>diamond</t>
        </is>
      </c>
      <c r="E106" s="15" t="n">
        <v>5</v>
      </c>
      <c r="F106" s="15" t="inlineStr">
        <is>
          <t>prod_diamond_04</t>
        </is>
      </c>
      <c r="G106" s="15" t="inlineStr">
        <is>
          <t>meta_deep_mining</t>
        </is>
      </c>
      <c r="H106" s="15" t="inlineStr">
        <is>
          <t>diamond_owned ≥ 100</t>
        </is>
      </c>
      <c r="I106" s="15" t="inlineStr">
        <is>
          <t>金币</t>
        </is>
      </c>
      <c r="J106" s="20" t="n">
        <v>500000000000000</v>
      </c>
      <c r="K106" s="15" t="inlineStr">
        <is>
          <t>500T</t>
        </is>
      </c>
      <c r="L106" s="32" t="n">
        <v>5</v>
      </c>
      <c r="M106" s="15" t="n">
        <v>14</v>
      </c>
      <c r="N106" s="15" t="inlineStr">
        <is>
          <t>BUILDING_CPS_MULT</t>
        </is>
      </c>
      <c r="O106" s="15" t="inlineStr">
        <is>
          <t>diamond</t>
        </is>
      </c>
      <c r="P106" s="15" t="inlineStr">
        <is>
          <t>MULTIPLY</t>
        </is>
      </c>
      <c r="Q106" s="15" t="n">
        <v>2</v>
      </c>
      <c r="R106" s="15" t="inlineStr"/>
      <c r="S106" s="15" t="inlineStr">
        <is>
          <t>所有已拥有的钻石矿自动建筑产量 ×2；购买后该矿常规升级累计倍率为 ×32。</t>
        </is>
      </c>
      <c r="T106" s="15" t="inlineStr">
        <is>
          <t>升华扩展 I</t>
        </is>
      </c>
      <c r="U106" s="15" t="b">
        <v>0</v>
      </c>
      <c r="V106" s="15" t="inlineStr">
        <is>
          <t>每一级都是独立按钮（max_rank=1）；不要压成一个可连点等级字段。</t>
        </is>
      </c>
      <c r="W106" s="15" t="inlineStr">
        <is>
          <t>cost = 100M × 5e+06；解锁持有数=100。</t>
        </is>
      </c>
    </row>
    <row r="107" ht="36" customHeight="1">
      <c r="A107" s="15" t="inlineStr">
        <is>
          <t>prod_diamond_06</t>
        </is>
      </c>
      <c r="B107" s="15" t="inlineStr">
        <is>
          <t>钻石矿·自动调度</t>
        </is>
      </c>
      <c r="C107" s="31" t="inlineStr">
        <is>
          <t>矿物产能</t>
        </is>
      </c>
      <c r="D107" s="15" t="inlineStr">
        <is>
          <t>diamond</t>
        </is>
      </c>
      <c r="E107" s="15" t="n">
        <v>6</v>
      </c>
      <c r="F107" s="15" t="inlineStr">
        <is>
          <t>prod_diamond_05</t>
        </is>
      </c>
      <c r="G107" s="15" t="inlineStr">
        <is>
          <t>meta_deep_mining</t>
        </is>
      </c>
      <c r="H107" s="15" t="inlineStr">
        <is>
          <t>diamond_owned ≥ 150</t>
        </is>
      </c>
      <c r="I107" s="15" t="inlineStr">
        <is>
          <t>金币</t>
        </is>
      </c>
      <c r="J107" s="33" t="n">
        <v>5e+16</v>
      </c>
      <c r="K107" s="15" t="inlineStr">
        <is>
          <t>50Qa</t>
        </is>
      </c>
      <c r="L107" s="32" t="n">
        <v>5</v>
      </c>
      <c r="M107" s="15" t="n">
        <v>16</v>
      </c>
      <c r="N107" s="15" t="inlineStr">
        <is>
          <t>BUILDING_CPS_MULT</t>
        </is>
      </c>
      <c r="O107" s="15" t="inlineStr">
        <is>
          <t>diamond</t>
        </is>
      </c>
      <c r="P107" s="15" t="inlineStr">
        <is>
          <t>MULTIPLY</t>
        </is>
      </c>
      <c r="Q107" s="15" t="n">
        <v>2</v>
      </c>
      <c r="R107" s="15" t="inlineStr"/>
      <c r="S107" s="15" t="inlineStr">
        <is>
          <t>所有已拥有的钻石矿自动建筑产量 ×2；购买后该矿常规升级累计倍率为 ×64。</t>
        </is>
      </c>
      <c r="T107" s="15" t="inlineStr">
        <is>
          <t>升华扩展 I</t>
        </is>
      </c>
      <c r="U107" s="15" t="b">
        <v>0</v>
      </c>
      <c r="V107" s="15" t="inlineStr">
        <is>
          <t>每一级都是独立按钮（max_rank=1）；不要压成一个可连点等级字段。</t>
        </is>
      </c>
      <c r="W107" s="15" t="inlineStr">
        <is>
          <t>cost = 100M × 5e+08；解锁持有数=150。</t>
        </is>
      </c>
    </row>
    <row r="108" ht="36" customHeight="1">
      <c r="A108" s="15" t="inlineStr">
        <is>
          <t>prod_diamond_07</t>
        </is>
      </c>
      <c r="B108" s="15" t="inlineStr">
        <is>
          <t>钻石矿·深层网络</t>
        </is>
      </c>
      <c r="C108" s="31" t="inlineStr">
        <is>
          <t>矿物产能</t>
        </is>
      </c>
      <c r="D108" s="15" t="inlineStr">
        <is>
          <t>diamond</t>
        </is>
      </c>
      <c r="E108" s="15" t="n">
        <v>7</v>
      </c>
      <c r="F108" s="15" t="inlineStr">
        <is>
          <t>prod_diamond_06</t>
        </is>
      </c>
      <c r="G108" s="15" t="inlineStr">
        <is>
          <t>meta_abyssal_mining</t>
        </is>
      </c>
      <c r="H108" s="15" t="inlineStr">
        <is>
          <t>diamond_owned ≥ 200</t>
        </is>
      </c>
      <c r="I108" s="15" t="inlineStr">
        <is>
          <t>金币</t>
        </is>
      </c>
      <c r="J108" s="33" t="n">
        <v>5e+19</v>
      </c>
      <c r="K108" s="15" t="inlineStr">
        <is>
          <t>50Qi</t>
        </is>
      </c>
      <c r="L108" s="32" t="n">
        <v>5</v>
      </c>
      <c r="M108" s="15" t="n">
        <v>19</v>
      </c>
      <c r="N108" s="15" t="inlineStr">
        <is>
          <t>BUILDING_CPS_MULT</t>
        </is>
      </c>
      <c r="O108" s="15" t="inlineStr">
        <is>
          <t>diamond</t>
        </is>
      </c>
      <c r="P108" s="15" t="inlineStr">
        <is>
          <t>MULTIPLY</t>
        </is>
      </c>
      <c r="Q108" s="15" t="n">
        <v>2</v>
      </c>
      <c r="R108" s="15" t="inlineStr"/>
      <c r="S108" s="15" t="inlineStr">
        <is>
          <t>所有已拥有的钻石矿自动建筑产量 ×2；购买后该矿常规升级累计倍率为 ×128。</t>
        </is>
      </c>
      <c r="T108" s="15" t="inlineStr">
        <is>
          <t>大数阶段</t>
        </is>
      </c>
      <c r="U108" s="34" t="b">
        <v>1</v>
      </c>
      <c r="V108" s="15" t="inlineStr">
        <is>
          <t>每一级都是独立按钮（max_rank=1）；不要压成一个可连点等级字段。</t>
        </is>
      </c>
      <c r="W108" s="15" t="inlineStr">
        <is>
          <t>cost = 100M × 5e+11；解锁持有数=200。</t>
        </is>
      </c>
    </row>
    <row r="109" ht="36" customHeight="1">
      <c r="A109" s="15" t="inlineStr">
        <is>
          <t>prod_diamond_08</t>
        </is>
      </c>
      <c r="B109" s="15" t="inlineStr">
        <is>
          <t>钻石矿·量子提炼</t>
        </is>
      </c>
      <c r="C109" s="31" t="inlineStr">
        <is>
          <t>矿物产能</t>
        </is>
      </c>
      <c r="D109" s="15" t="inlineStr">
        <is>
          <t>diamond</t>
        </is>
      </c>
      <c r="E109" s="15" t="n">
        <v>8</v>
      </c>
      <c r="F109" s="15" t="inlineStr">
        <is>
          <t>prod_diamond_07</t>
        </is>
      </c>
      <c r="G109" s="15" t="inlineStr">
        <is>
          <t>meta_abyssal_mining</t>
        </is>
      </c>
      <c r="H109" s="15" t="inlineStr">
        <is>
          <t>diamond_owned ≥ 250</t>
        </is>
      </c>
      <c r="I109" s="15" t="inlineStr">
        <is>
          <t>金币</t>
        </is>
      </c>
      <c r="J109" s="33" t="n">
        <v>5e+22</v>
      </c>
      <c r="K109" s="15" t="inlineStr">
        <is>
          <t>5.000e+22</t>
        </is>
      </c>
      <c r="L109" s="32" t="n">
        <v>5</v>
      </c>
      <c r="M109" s="15" t="n">
        <v>22</v>
      </c>
      <c r="N109" s="15" t="inlineStr">
        <is>
          <t>BUILDING_CPS_MULT</t>
        </is>
      </c>
      <c r="O109" s="15" t="inlineStr">
        <is>
          <t>diamond</t>
        </is>
      </c>
      <c r="P109" s="15" t="inlineStr">
        <is>
          <t>MULTIPLY</t>
        </is>
      </c>
      <c r="Q109" s="15" t="n">
        <v>2</v>
      </c>
      <c r="R109" s="15" t="inlineStr"/>
      <c r="S109" s="15" t="inlineStr">
        <is>
          <t>所有已拥有的钻石矿自动建筑产量 ×2；购买后该矿常规升级累计倍率为 ×256。</t>
        </is>
      </c>
      <c r="T109" s="15" t="inlineStr">
        <is>
          <t>大数阶段</t>
        </is>
      </c>
      <c r="U109" s="34" t="b">
        <v>1</v>
      </c>
      <c r="V109" s="15" t="inlineStr">
        <is>
          <t>每一级都是独立按钮（max_rank=1）；不要压成一个可连点等级字段。</t>
        </is>
      </c>
      <c r="W109" s="15" t="inlineStr">
        <is>
          <t>cost = 100M × 5e+14；解锁持有数=250。</t>
        </is>
      </c>
    </row>
    <row r="110" ht="36" customHeight="1">
      <c r="A110" s="15" t="inlineStr">
        <is>
          <t>prod_diamond_09</t>
        </is>
      </c>
      <c r="B110" s="15" t="inlineStr">
        <is>
          <t>钻石矿·星核工艺</t>
        </is>
      </c>
      <c r="C110" s="31" t="inlineStr">
        <is>
          <t>矿物产能</t>
        </is>
      </c>
      <c r="D110" s="15" t="inlineStr">
        <is>
          <t>diamond</t>
        </is>
      </c>
      <c r="E110" s="15" t="n">
        <v>9</v>
      </c>
      <c r="F110" s="15" t="inlineStr">
        <is>
          <t>prod_diamond_08</t>
        </is>
      </c>
      <c r="G110" s="15" t="inlineStr">
        <is>
          <t>meta_abyssal_mining</t>
        </is>
      </c>
      <c r="H110" s="15" t="inlineStr">
        <is>
          <t>diamond_owned ≥ 300</t>
        </is>
      </c>
      <c r="I110" s="15" t="inlineStr">
        <is>
          <t>金币</t>
        </is>
      </c>
      <c r="J110" s="33" t="n">
        <v>5e+25</v>
      </c>
      <c r="K110" s="15" t="inlineStr">
        <is>
          <t>5.000e+25</t>
        </is>
      </c>
      <c r="L110" s="32" t="n">
        <v>5</v>
      </c>
      <c r="M110" s="15" t="n">
        <v>25</v>
      </c>
      <c r="N110" s="15" t="inlineStr">
        <is>
          <t>BUILDING_CPS_MULT</t>
        </is>
      </c>
      <c r="O110" s="15" t="inlineStr">
        <is>
          <t>diamond</t>
        </is>
      </c>
      <c r="P110" s="15" t="inlineStr">
        <is>
          <t>MULTIPLY</t>
        </is>
      </c>
      <c r="Q110" s="15" t="n">
        <v>2</v>
      </c>
      <c r="R110" s="15" t="inlineStr"/>
      <c r="S110" s="15" t="inlineStr">
        <is>
          <t>所有已拥有的钻石矿自动建筑产量 ×2；购买后该矿常规升级累计倍率为 ×512。</t>
        </is>
      </c>
      <c r="T110" s="15" t="inlineStr">
        <is>
          <t>大数阶段</t>
        </is>
      </c>
      <c r="U110" s="34" t="b">
        <v>1</v>
      </c>
      <c r="V110" s="15" t="inlineStr">
        <is>
          <t>每一级都是独立按钮（max_rank=1）；不要压成一个可连点等级字段。</t>
        </is>
      </c>
      <c r="W110" s="15" t="inlineStr">
        <is>
          <t>cost = 100M × 5e+17；解锁持有数=300。</t>
        </is>
      </c>
    </row>
    <row r="111" ht="36" customHeight="1">
      <c r="A111" s="15" t="inlineStr">
        <is>
          <t>prod_diamond_10</t>
        </is>
      </c>
      <c r="B111" s="15" t="inlineStr">
        <is>
          <t>钻石矿·维度开采</t>
        </is>
      </c>
      <c r="C111" s="31" t="inlineStr">
        <is>
          <t>矿物产能</t>
        </is>
      </c>
      <c r="D111" s="15" t="inlineStr">
        <is>
          <t>diamond</t>
        </is>
      </c>
      <c r="E111" s="15" t="n">
        <v>10</v>
      </c>
      <c r="F111" s="15" t="inlineStr">
        <is>
          <t>prod_diamond_09</t>
        </is>
      </c>
      <c r="G111" s="15" t="inlineStr">
        <is>
          <t>meta_abyssal_mining</t>
        </is>
      </c>
      <c r="H111" s="15" t="inlineStr">
        <is>
          <t>diamond_owned ≥ 350</t>
        </is>
      </c>
      <c r="I111" s="15" t="inlineStr">
        <is>
          <t>金币</t>
        </is>
      </c>
      <c r="J111" s="33" t="n">
        <v>5e+28</v>
      </c>
      <c r="K111" s="15" t="inlineStr">
        <is>
          <t>5.000e+28</t>
        </is>
      </c>
      <c r="L111" s="32" t="n">
        <v>5</v>
      </c>
      <c r="M111" s="15" t="n">
        <v>28</v>
      </c>
      <c r="N111" s="15" t="inlineStr">
        <is>
          <t>BUILDING_CPS_MULT</t>
        </is>
      </c>
      <c r="O111" s="15" t="inlineStr">
        <is>
          <t>diamond</t>
        </is>
      </c>
      <c r="P111" s="15" t="inlineStr">
        <is>
          <t>MULTIPLY</t>
        </is>
      </c>
      <c r="Q111" s="15" t="n">
        <v>2</v>
      </c>
      <c r="R111" s="15" t="inlineStr"/>
      <c r="S111" s="15" t="inlineStr">
        <is>
          <t>所有已拥有的钻石矿自动建筑产量 ×2；购买后该矿常规升级累计倍率为 ×1,024。</t>
        </is>
      </c>
      <c r="T111" s="15" t="inlineStr">
        <is>
          <t>大数阶段</t>
        </is>
      </c>
      <c r="U111" s="34" t="b">
        <v>1</v>
      </c>
      <c r="V111" s="15" t="inlineStr">
        <is>
          <t>每一级都是独立按钮（max_rank=1）；不要压成一个可连点等级字段。</t>
        </is>
      </c>
      <c r="W111" s="15" t="inlineStr">
        <is>
          <t>cost = 100M × 5e+20；解锁持有数=350。</t>
        </is>
      </c>
    </row>
    <row r="112" ht="36" customHeight="1">
      <c r="A112" s="15" t="inlineStr">
        <is>
          <t>prod_diamond_11</t>
        </is>
      </c>
      <c r="B112" s="15" t="inlineStr">
        <is>
          <t>钻石矿·时间压缩</t>
        </is>
      </c>
      <c r="C112" s="31" t="inlineStr">
        <is>
          <t>矿物产能</t>
        </is>
      </c>
      <c r="D112" s="15" t="inlineStr">
        <is>
          <t>diamond</t>
        </is>
      </c>
      <c r="E112" s="15" t="n">
        <v>11</v>
      </c>
      <c r="F112" s="15" t="inlineStr">
        <is>
          <t>prod_diamond_10</t>
        </is>
      </c>
      <c r="G112" s="15" t="inlineStr">
        <is>
          <t>meta_endless_mining</t>
        </is>
      </c>
      <c r="H112" s="15" t="inlineStr">
        <is>
          <t>diamond_owned ≥ 400</t>
        </is>
      </c>
      <c r="I112" s="15" t="inlineStr">
        <is>
          <t>金币</t>
        </is>
      </c>
      <c r="J112" s="33" t="n">
        <v>5e+32</v>
      </c>
      <c r="K112" s="15" t="inlineStr">
        <is>
          <t>5.000e+32</t>
        </is>
      </c>
      <c r="L112" s="32" t="n">
        <v>5</v>
      </c>
      <c r="M112" s="15" t="n">
        <v>32</v>
      </c>
      <c r="N112" s="15" t="inlineStr">
        <is>
          <t>BUILDING_CPS_MULT</t>
        </is>
      </c>
      <c r="O112" s="15" t="inlineStr">
        <is>
          <t>diamond</t>
        </is>
      </c>
      <c r="P112" s="15" t="inlineStr">
        <is>
          <t>MULTIPLY</t>
        </is>
      </c>
      <c r="Q112" s="15" t="n">
        <v>2</v>
      </c>
      <c r="R112" s="15" t="inlineStr"/>
      <c r="S112" s="15" t="inlineStr">
        <is>
          <t>所有已拥有的钻石矿自动建筑产量 ×2；购买后该矿常规升级累计倍率为 ×2,048。</t>
        </is>
      </c>
      <c r="T112" s="15" t="inlineStr">
        <is>
          <t>终局阶段</t>
        </is>
      </c>
      <c r="U112" s="34" t="b">
        <v>1</v>
      </c>
      <c r="V112" s="15" t="inlineStr">
        <is>
          <t>每一级都是独立按钮（max_rank=1）；不要压成一个可连点等级字段。</t>
        </is>
      </c>
      <c r="W112" s="15" t="inlineStr">
        <is>
          <t>cost = 100M × 5e+24；解锁持有数=400。</t>
        </is>
      </c>
    </row>
    <row r="113" ht="36" customHeight="1">
      <c r="A113" s="15" t="inlineStr">
        <is>
          <t>prod_diamond_12</t>
        </is>
      </c>
      <c r="B113" s="15" t="inlineStr">
        <is>
          <t>钻石矿·因果矿脉</t>
        </is>
      </c>
      <c r="C113" s="31" t="inlineStr">
        <is>
          <t>矿物产能</t>
        </is>
      </c>
      <c r="D113" s="15" t="inlineStr">
        <is>
          <t>diamond</t>
        </is>
      </c>
      <c r="E113" s="15" t="n">
        <v>12</v>
      </c>
      <c r="F113" s="15" t="inlineStr">
        <is>
          <t>prod_diamond_11</t>
        </is>
      </c>
      <c r="G113" s="15" t="inlineStr">
        <is>
          <t>meta_endless_mining</t>
        </is>
      </c>
      <c r="H113" s="15" t="inlineStr">
        <is>
          <t>diamond_owned ≥ 450</t>
        </is>
      </c>
      <c r="I113" s="15" t="inlineStr">
        <is>
          <t>金币</t>
        </is>
      </c>
      <c r="J113" s="33" t="n">
        <v>5e+36</v>
      </c>
      <c r="K113" s="15" t="inlineStr">
        <is>
          <t>5.000e+36</t>
        </is>
      </c>
      <c r="L113" s="32" t="n">
        <v>5</v>
      </c>
      <c r="M113" s="15" t="n">
        <v>36</v>
      </c>
      <c r="N113" s="15" t="inlineStr">
        <is>
          <t>BUILDING_CPS_MULT</t>
        </is>
      </c>
      <c r="O113" s="15" t="inlineStr">
        <is>
          <t>diamond</t>
        </is>
      </c>
      <c r="P113" s="15" t="inlineStr">
        <is>
          <t>MULTIPLY</t>
        </is>
      </c>
      <c r="Q113" s="15" t="n">
        <v>2</v>
      </c>
      <c r="R113" s="15" t="inlineStr"/>
      <c r="S113" s="15" t="inlineStr">
        <is>
          <t>所有已拥有的钻石矿自动建筑产量 ×2；购买后该矿常规升级累计倍率为 ×4,096。</t>
        </is>
      </c>
      <c r="T113" s="15" t="inlineStr">
        <is>
          <t>终局阶段</t>
        </is>
      </c>
      <c r="U113" s="34" t="b">
        <v>1</v>
      </c>
      <c r="V113" s="15" t="inlineStr">
        <is>
          <t>每一级都是独立按钮（max_rank=1）；不要压成一个可连点等级字段。</t>
        </is>
      </c>
      <c r="W113" s="15" t="inlineStr">
        <is>
          <t>cost = 100M × 5e+28；解锁持有数=450。</t>
        </is>
      </c>
    </row>
    <row r="114" ht="36" customHeight="1">
      <c r="A114" s="15" t="inlineStr">
        <is>
          <t>prod_diamond_13</t>
        </is>
      </c>
      <c r="B114" s="15" t="inlineStr">
        <is>
          <t>钻石矿·无限矿区</t>
        </is>
      </c>
      <c r="C114" s="31" t="inlineStr">
        <is>
          <t>矿物产能</t>
        </is>
      </c>
      <c r="D114" s="15" t="inlineStr">
        <is>
          <t>diamond</t>
        </is>
      </c>
      <c r="E114" s="15" t="n">
        <v>13</v>
      </c>
      <c r="F114" s="15" t="inlineStr">
        <is>
          <t>prod_diamond_12</t>
        </is>
      </c>
      <c r="G114" s="15" t="inlineStr">
        <is>
          <t>meta_endless_mining</t>
        </is>
      </c>
      <c r="H114" s="15" t="inlineStr">
        <is>
          <t>diamond_owned ≥ 500</t>
        </is>
      </c>
      <c r="I114" s="15" t="inlineStr">
        <is>
          <t>金币</t>
        </is>
      </c>
      <c r="J114" s="33" t="n">
        <v>5e+40</v>
      </c>
      <c r="K114" s="15" t="inlineStr">
        <is>
          <t>5.000e+40</t>
        </is>
      </c>
      <c r="L114" s="32" t="n">
        <v>5</v>
      </c>
      <c r="M114" s="15" t="n">
        <v>40</v>
      </c>
      <c r="N114" s="15" t="inlineStr">
        <is>
          <t>BUILDING_CPS_MULT</t>
        </is>
      </c>
      <c r="O114" s="15" t="inlineStr">
        <is>
          <t>diamond</t>
        </is>
      </c>
      <c r="P114" s="15" t="inlineStr">
        <is>
          <t>MULTIPLY</t>
        </is>
      </c>
      <c r="Q114" s="15" t="n">
        <v>2</v>
      </c>
      <c r="R114" s="15" t="inlineStr"/>
      <c r="S114" s="15" t="inlineStr">
        <is>
          <t>所有已拥有的钻石矿自动建筑产量 ×2；购买后该矿常规升级累计倍率为 ×8,192。</t>
        </is>
      </c>
      <c r="T114" s="15" t="inlineStr">
        <is>
          <t>终局阶段</t>
        </is>
      </c>
      <c r="U114" s="34" t="b">
        <v>1</v>
      </c>
      <c r="V114" s="15" t="inlineStr">
        <is>
          <t>每一级都是独立按钮（max_rank=1）；不要压成一个可连点等级字段。</t>
        </is>
      </c>
      <c r="W114" s="15" t="inlineStr">
        <is>
          <t>cost = 100M × 5e+32；解锁持有数=500。</t>
        </is>
      </c>
    </row>
    <row r="115" ht="36" customHeight="1">
      <c r="A115" s="15" t="inlineStr">
        <is>
          <t>prod_diamond_14</t>
        </is>
      </c>
      <c r="B115" s="15" t="inlineStr">
        <is>
          <t>钻石矿·概念提炼</t>
        </is>
      </c>
      <c r="C115" s="31" t="inlineStr">
        <is>
          <t>矿物产能</t>
        </is>
      </c>
      <c r="D115" s="15" t="inlineStr">
        <is>
          <t>diamond</t>
        </is>
      </c>
      <c r="E115" s="15" t="n">
        <v>14</v>
      </c>
      <c r="F115" s="15" t="inlineStr">
        <is>
          <t>prod_diamond_13</t>
        </is>
      </c>
      <c r="G115" s="15" t="inlineStr">
        <is>
          <t>meta_endless_mining</t>
        </is>
      </c>
      <c r="H115" s="15" t="inlineStr">
        <is>
          <t>diamond_owned ≥ 550</t>
        </is>
      </c>
      <c r="I115" s="15" t="inlineStr">
        <is>
          <t>金币</t>
        </is>
      </c>
      <c r="J115" s="33" t="n">
        <v>5e+44</v>
      </c>
      <c r="K115" s="15" t="inlineStr">
        <is>
          <t>5.000e+44</t>
        </is>
      </c>
      <c r="L115" s="32" t="n">
        <v>4.999999999999999</v>
      </c>
      <c r="M115" s="15" t="n">
        <v>44</v>
      </c>
      <c r="N115" s="15" t="inlineStr">
        <is>
          <t>BUILDING_CPS_MULT</t>
        </is>
      </c>
      <c r="O115" s="15" t="inlineStr">
        <is>
          <t>diamond</t>
        </is>
      </c>
      <c r="P115" s="15" t="inlineStr">
        <is>
          <t>MULTIPLY</t>
        </is>
      </c>
      <c r="Q115" s="15" t="n">
        <v>2</v>
      </c>
      <c r="R115" s="15" t="inlineStr"/>
      <c r="S115" s="15" t="inlineStr">
        <is>
          <t>所有已拥有的钻石矿自动建筑产量 ×2；购买后该矿常规升级累计倍率为 ×16,384。</t>
        </is>
      </c>
      <c r="T115" s="15" t="inlineStr">
        <is>
          <t>终局阶段</t>
        </is>
      </c>
      <c r="U115" s="34" t="b">
        <v>1</v>
      </c>
      <c r="V115" s="15" t="inlineStr">
        <is>
          <t>每一级都是独立按钮（max_rank=1）；不要压成一个可连点等级字段。</t>
        </is>
      </c>
      <c r="W115" s="15" t="inlineStr">
        <is>
          <t>cost = 100M × 5e+36；解锁持有数=550。</t>
        </is>
      </c>
    </row>
    <row r="116" ht="36" customHeight="1">
      <c r="A116" s="15" t="inlineStr">
        <is>
          <t>prod_diamond_15</t>
        </is>
      </c>
      <c r="B116" s="15" t="inlineStr">
        <is>
          <t>钻石矿·终极产能</t>
        </is>
      </c>
      <c r="C116" s="31" t="inlineStr">
        <is>
          <t>矿物产能</t>
        </is>
      </c>
      <c r="D116" s="15" t="inlineStr">
        <is>
          <t>diamond</t>
        </is>
      </c>
      <c r="E116" s="15" t="n">
        <v>15</v>
      </c>
      <c r="F116" s="15" t="inlineStr">
        <is>
          <t>prod_diamond_14</t>
        </is>
      </c>
      <c r="G116" s="15" t="inlineStr">
        <is>
          <t>meta_endless_mining</t>
        </is>
      </c>
      <c r="H116" s="15" t="inlineStr">
        <is>
          <t>diamond_owned ≥ 600</t>
        </is>
      </c>
      <c r="I116" s="15" t="inlineStr">
        <is>
          <t>金币</t>
        </is>
      </c>
      <c r="J116" s="33" t="n">
        <v>5e+48</v>
      </c>
      <c r="K116" s="15" t="inlineStr">
        <is>
          <t>5.000e+48</t>
        </is>
      </c>
      <c r="L116" s="32" t="n">
        <v>4.999999999999999</v>
      </c>
      <c r="M116" s="15" t="n">
        <v>48</v>
      </c>
      <c r="N116" s="15" t="inlineStr">
        <is>
          <t>BUILDING_CPS_MULT</t>
        </is>
      </c>
      <c r="O116" s="15" t="inlineStr">
        <is>
          <t>diamond</t>
        </is>
      </c>
      <c r="P116" s="15" t="inlineStr">
        <is>
          <t>MULTIPLY</t>
        </is>
      </c>
      <c r="Q116" s="15" t="n">
        <v>2</v>
      </c>
      <c r="R116" s="15" t="inlineStr"/>
      <c r="S116" s="15" t="inlineStr">
        <is>
          <t>所有已拥有的钻石矿自动建筑产量 ×2；购买后该矿常规升级累计倍率为 ×32,768。</t>
        </is>
      </c>
      <c r="T116" s="15" t="inlineStr">
        <is>
          <t>终局阶段</t>
        </is>
      </c>
      <c r="U116" s="34" t="b">
        <v>1</v>
      </c>
      <c r="V116" s="15" t="inlineStr">
        <is>
          <t>每一级都是独立按钮（max_rank=1）；不要压成一个可连点等级字段。</t>
        </is>
      </c>
      <c r="W116" s="15" t="inlineStr">
        <is>
          <t>cost = 100M × 5e+40；解锁持有数=600。</t>
        </is>
      </c>
    </row>
    <row r="117" ht="36" customHeight="1">
      <c r="A117" s="15" t="inlineStr">
        <is>
          <t>unlock_cat</t>
        </is>
      </c>
      <c r="B117" s="15" t="inlineStr">
        <is>
          <t>解锁·猫矿</t>
        </is>
      </c>
      <c r="C117" s="31" t="inlineStr">
        <is>
          <t>矿物解锁</t>
        </is>
      </c>
      <c r="D117" s="15" t="inlineStr">
        <is>
          <t>cat</t>
        </is>
      </c>
      <c r="E117" s="15" t="inlineStr">
        <is>
          <t>Unlock</t>
        </is>
      </c>
      <c r="F117" s="15" t="inlineStr">
        <is>
          <t>unlock_diamond</t>
        </is>
      </c>
      <c r="G117" s="15" t="inlineStr"/>
      <c r="H117" s="15" t="inlineStr">
        <is>
          <t>diamond_owned ≥ 15</t>
        </is>
      </c>
      <c r="I117" s="15" t="inlineStr">
        <is>
          <t>金币</t>
        </is>
      </c>
      <c r="J117" s="20" t="n">
        <v>825000000</v>
      </c>
      <c r="K117" s="15" t="inlineStr">
        <is>
          <t>825M</t>
        </is>
      </c>
      <c r="L117" s="32" t="n">
        <v>8.25</v>
      </c>
      <c r="M117" s="15" t="n">
        <v>8</v>
      </c>
      <c r="N117" s="15" t="inlineStr">
        <is>
          <t>UNLOCK_PRODUCER_AND_ORE</t>
        </is>
      </c>
      <c r="O117" s="15" t="inlineStr">
        <is>
          <t>cat</t>
        </is>
      </c>
      <c r="P117" s="15" t="inlineStr">
        <is>
          <t>UNLOCK</t>
        </is>
      </c>
      <c r="Q117" s="15" t="n">
        <v>1</v>
      </c>
      <c r="R117" s="15" t="inlineStr"/>
      <c r="S117" s="15" t="inlineStr">
        <is>
          <t>解锁猫矿自动建筑商店，并允许实体 cat 进入自然落矿池；该实体矿的Lv1~3同时允许。</t>
        </is>
      </c>
      <c r="T117" s="15" t="inlineStr">
        <is>
          <t>本轮核心</t>
        </is>
      </c>
      <c r="U117" s="15" t="b">
        <v>0</v>
      </c>
      <c r="V117" s="15" t="inlineStr">
        <is>
          <t>当前DefDb会加载全部矿物；V3必须在建筑商店与roll_ore两处同时校验。</t>
        </is>
      </c>
      <c r="W117" s="15" t="inlineStr">
        <is>
          <t>Coal免费；其余解锁成本严格等于该矿BasePrice×0.5，不再做有效数字取整。</t>
        </is>
      </c>
    </row>
    <row r="118" ht="36" customHeight="1">
      <c r="A118" s="15" t="inlineStr">
        <is>
          <t>prod_cat_01</t>
        </is>
      </c>
      <c r="B118" s="15" t="inlineStr">
        <is>
          <t>猫矿·基础工具</t>
        </is>
      </c>
      <c r="C118" s="31" t="inlineStr">
        <is>
          <t>矿物产能</t>
        </is>
      </c>
      <c r="D118" s="15" t="inlineStr">
        <is>
          <t>cat</t>
        </is>
      </c>
      <c r="E118" s="15" t="n">
        <v>1</v>
      </c>
      <c r="F118" s="15" t="inlineStr">
        <is>
          <t>unlock_cat</t>
        </is>
      </c>
      <c r="G118" s="15" t="inlineStr"/>
      <c r="H118" s="15" t="inlineStr">
        <is>
          <t>cat_owned ≥ 1</t>
        </is>
      </c>
      <c r="I118" s="15" t="inlineStr">
        <is>
          <t>金币</t>
        </is>
      </c>
      <c r="J118" s="20" t="n">
        <v>16500000000</v>
      </c>
      <c r="K118" s="15" t="inlineStr">
        <is>
          <t>16.5B</t>
        </is>
      </c>
      <c r="L118" s="32" t="n">
        <v>1.65</v>
      </c>
      <c r="M118" s="15" t="n">
        <v>10</v>
      </c>
      <c r="N118" s="15" t="inlineStr">
        <is>
          <t>BUILDING_CPS_MULT</t>
        </is>
      </c>
      <c r="O118" s="15" t="inlineStr">
        <is>
          <t>cat</t>
        </is>
      </c>
      <c r="P118" s="15" t="inlineStr">
        <is>
          <t>MULTIPLY</t>
        </is>
      </c>
      <c r="Q118" s="15" t="n">
        <v>2</v>
      </c>
      <c r="R118" s="15" t="inlineStr"/>
      <c r="S118" s="15" t="inlineStr">
        <is>
          <t>所有已拥有的猫矿自动建筑产量 ×2；购买后该矿常规升级累计倍率为 ×2。</t>
        </is>
      </c>
      <c r="T118" s="15" t="inlineStr">
        <is>
          <t>本轮核心</t>
        </is>
      </c>
      <c r="U118" s="15" t="b">
        <v>0</v>
      </c>
      <c r="V118" s="15" t="inlineStr">
        <is>
          <t>每一级都是独立按钮（max_rank=1）；不要压成一个可连点等级字段。</t>
        </is>
      </c>
      <c r="W118" s="15" t="inlineStr">
        <is>
          <t>cost = 1.65B × 1e+01；解锁持有数=1。</t>
        </is>
      </c>
    </row>
    <row r="119" ht="36" customHeight="1">
      <c r="A119" s="15" t="inlineStr">
        <is>
          <t>prod_cat_02</t>
        </is>
      </c>
      <c r="B119" s="15" t="inlineStr">
        <is>
          <t>猫矿·标准流程</t>
        </is>
      </c>
      <c r="C119" s="31" t="inlineStr">
        <is>
          <t>矿物产能</t>
        </is>
      </c>
      <c r="D119" s="15" t="inlineStr">
        <is>
          <t>cat</t>
        </is>
      </c>
      <c r="E119" s="15" t="n">
        <v>2</v>
      </c>
      <c r="F119" s="15" t="inlineStr">
        <is>
          <t>prod_cat_01</t>
        </is>
      </c>
      <c r="G119" s="15" t="inlineStr"/>
      <c r="H119" s="15" t="inlineStr">
        <is>
          <t>cat_owned ≥ 5</t>
        </is>
      </c>
      <c r="I119" s="15" t="inlineStr">
        <is>
          <t>金币</t>
        </is>
      </c>
      <c r="J119" s="20" t="n">
        <v>82500000000</v>
      </c>
      <c r="K119" s="15" t="inlineStr">
        <is>
          <t>82.5B</t>
        </is>
      </c>
      <c r="L119" s="32" t="n">
        <v>8.25</v>
      </c>
      <c r="M119" s="15" t="n">
        <v>10</v>
      </c>
      <c r="N119" s="15" t="inlineStr">
        <is>
          <t>BUILDING_CPS_MULT</t>
        </is>
      </c>
      <c r="O119" s="15" t="inlineStr">
        <is>
          <t>cat</t>
        </is>
      </c>
      <c r="P119" s="15" t="inlineStr">
        <is>
          <t>MULTIPLY</t>
        </is>
      </c>
      <c r="Q119" s="15" t="n">
        <v>2</v>
      </c>
      <c r="R119" s="15" t="inlineStr"/>
      <c r="S119" s="15" t="inlineStr">
        <is>
          <t>所有已拥有的猫矿自动建筑产量 ×2；购买后该矿常规升级累计倍率为 ×4。</t>
        </is>
      </c>
      <c r="T119" s="15" t="inlineStr">
        <is>
          <t>本轮核心</t>
        </is>
      </c>
      <c r="U119" s="15" t="b">
        <v>0</v>
      </c>
      <c r="V119" s="15" t="inlineStr">
        <is>
          <t>每一级都是独立按钮（max_rank=1）；不要压成一个可连点等级字段。</t>
        </is>
      </c>
      <c r="W119" s="15" t="inlineStr">
        <is>
          <t>cost = 1.65B × 5e+01；解锁持有数=5。</t>
        </is>
      </c>
    </row>
    <row r="120" ht="36" customHeight="1">
      <c r="A120" s="15" t="inlineStr">
        <is>
          <t>prod_cat_03</t>
        </is>
      </c>
      <c r="B120" s="15" t="inlineStr">
        <is>
          <t>猫矿·机械化</t>
        </is>
      </c>
      <c r="C120" s="31" t="inlineStr">
        <is>
          <t>矿物产能</t>
        </is>
      </c>
      <c r="D120" s="15" t="inlineStr">
        <is>
          <t>cat</t>
        </is>
      </c>
      <c r="E120" s="15" t="n">
        <v>3</v>
      </c>
      <c r="F120" s="15" t="inlineStr">
        <is>
          <t>prod_cat_02</t>
        </is>
      </c>
      <c r="G120" s="15" t="inlineStr"/>
      <c r="H120" s="15" t="inlineStr">
        <is>
          <t>cat_owned ≥ 25</t>
        </is>
      </c>
      <c r="I120" s="15" t="inlineStr">
        <is>
          <t>金币</t>
        </is>
      </c>
      <c r="J120" s="20" t="n">
        <v>825000000000</v>
      </c>
      <c r="K120" s="15" t="inlineStr">
        <is>
          <t>825B</t>
        </is>
      </c>
      <c r="L120" s="32" t="n">
        <v>8.25</v>
      </c>
      <c r="M120" s="15" t="n">
        <v>11</v>
      </c>
      <c r="N120" s="15" t="inlineStr">
        <is>
          <t>BUILDING_CPS_MULT</t>
        </is>
      </c>
      <c r="O120" s="15" t="inlineStr">
        <is>
          <t>cat</t>
        </is>
      </c>
      <c r="P120" s="15" t="inlineStr">
        <is>
          <t>MULTIPLY</t>
        </is>
      </c>
      <c r="Q120" s="15" t="n">
        <v>2</v>
      </c>
      <c r="R120" s="15" t="inlineStr"/>
      <c r="S120" s="15" t="inlineStr">
        <is>
          <t>所有已拥有的猫矿自动建筑产量 ×2；购买后该矿常规升级累计倍率为 ×8。</t>
        </is>
      </c>
      <c r="T120" s="15" t="inlineStr">
        <is>
          <t>本轮核心</t>
        </is>
      </c>
      <c r="U120" s="15" t="b">
        <v>0</v>
      </c>
      <c r="V120" s="15" t="inlineStr">
        <is>
          <t>每一级都是独立按钮（max_rank=1）；不要压成一个可连点等级字段。</t>
        </is>
      </c>
      <c r="W120" s="15" t="inlineStr">
        <is>
          <t>cost = 1.65B × 5e+02；解锁持有数=25。</t>
        </is>
      </c>
    </row>
    <row r="121" ht="36" customHeight="1">
      <c r="A121" s="15" t="inlineStr">
        <is>
          <t>prod_cat_04</t>
        </is>
      </c>
      <c r="B121" s="15" t="inlineStr">
        <is>
          <t>猫矿·精密钻探</t>
        </is>
      </c>
      <c r="C121" s="31" t="inlineStr">
        <is>
          <t>矿物产能</t>
        </is>
      </c>
      <c r="D121" s="15" t="inlineStr">
        <is>
          <t>cat</t>
        </is>
      </c>
      <c r="E121" s="15" t="n">
        <v>4</v>
      </c>
      <c r="F121" s="15" t="inlineStr">
        <is>
          <t>prod_cat_03</t>
        </is>
      </c>
      <c r="G121" s="15" t="inlineStr"/>
      <c r="H121" s="15" t="inlineStr">
        <is>
          <t>cat_owned ≥ 50</t>
        </is>
      </c>
      <c r="I121" s="15" t="inlineStr">
        <is>
          <t>金币</t>
        </is>
      </c>
      <c r="J121" s="20" t="n">
        <v>82500000000000</v>
      </c>
      <c r="K121" s="15" t="inlineStr">
        <is>
          <t>82.5T</t>
        </is>
      </c>
      <c r="L121" s="32" t="n">
        <v>8.25</v>
      </c>
      <c r="M121" s="15" t="n">
        <v>13</v>
      </c>
      <c r="N121" s="15" t="inlineStr">
        <is>
          <t>BUILDING_CPS_MULT</t>
        </is>
      </c>
      <c r="O121" s="15" t="inlineStr">
        <is>
          <t>cat</t>
        </is>
      </c>
      <c r="P121" s="15" t="inlineStr">
        <is>
          <t>MULTIPLY</t>
        </is>
      </c>
      <c r="Q121" s="15" t="n">
        <v>2</v>
      </c>
      <c r="R121" s="15" t="inlineStr"/>
      <c r="S121" s="15" t="inlineStr">
        <is>
          <t>所有已拥有的猫矿自动建筑产量 ×2；购买后该矿常规升级累计倍率为 ×16。</t>
        </is>
      </c>
      <c r="T121" s="15" t="inlineStr">
        <is>
          <t>本轮核心</t>
        </is>
      </c>
      <c r="U121" s="15" t="b">
        <v>0</v>
      </c>
      <c r="V121" s="15" t="inlineStr">
        <is>
          <t>每一级都是独立按钮（max_rank=1）；不要压成一个可连点等级字段。</t>
        </is>
      </c>
      <c r="W121" s="15" t="inlineStr">
        <is>
          <t>cost = 1.65B × 5e+04；解锁持有数=50。</t>
        </is>
      </c>
    </row>
    <row r="122" ht="36" customHeight="1">
      <c r="A122" s="15" t="inlineStr">
        <is>
          <t>prod_cat_05</t>
        </is>
      </c>
      <c r="B122" s="15" t="inlineStr">
        <is>
          <t>猫矿·工业扩建</t>
        </is>
      </c>
      <c r="C122" s="31" t="inlineStr">
        <is>
          <t>矿物产能</t>
        </is>
      </c>
      <c r="D122" s="15" t="inlineStr">
        <is>
          <t>cat</t>
        </is>
      </c>
      <c r="E122" s="15" t="n">
        <v>5</v>
      </c>
      <c r="F122" s="15" t="inlineStr">
        <is>
          <t>prod_cat_04</t>
        </is>
      </c>
      <c r="G122" s="15" t="inlineStr">
        <is>
          <t>meta_deep_mining</t>
        </is>
      </c>
      <c r="H122" s="15" t="inlineStr">
        <is>
          <t>cat_owned ≥ 100</t>
        </is>
      </c>
      <c r="I122" s="15" t="inlineStr">
        <is>
          <t>金币</t>
        </is>
      </c>
      <c r="J122" s="33" t="n">
        <v>8250000000000000</v>
      </c>
      <c r="K122" s="15" t="inlineStr">
        <is>
          <t>8.25Qa</t>
        </is>
      </c>
      <c r="L122" s="32" t="n">
        <v>8.25</v>
      </c>
      <c r="M122" s="15" t="n">
        <v>15</v>
      </c>
      <c r="N122" s="15" t="inlineStr">
        <is>
          <t>BUILDING_CPS_MULT</t>
        </is>
      </c>
      <c r="O122" s="15" t="inlineStr">
        <is>
          <t>cat</t>
        </is>
      </c>
      <c r="P122" s="15" t="inlineStr">
        <is>
          <t>MULTIPLY</t>
        </is>
      </c>
      <c r="Q122" s="15" t="n">
        <v>2</v>
      </c>
      <c r="R122" s="15" t="inlineStr"/>
      <c r="S122" s="15" t="inlineStr">
        <is>
          <t>所有已拥有的猫矿自动建筑产量 ×2；购买后该矿常规升级累计倍率为 ×32。</t>
        </is>
      </c>
      <c r="T122" s="15" t="inlineStr">
        <is>
          <t>升华扩展 I</t>
        </is>
      </c>
      <c r="U122" s="15" t="b">
        <v>0</v>
      </c>
      <c r="V122" s="15" t="inlineStr">
        <is>
          <t>每一级都是独立按钮（max_rank=1）；不要压成一个可连点等级字段。</t>
        </is>
      </c>
      <c r="W122" s="15" t="inlineStr">
        <is>
          <t>cost = 1.65B × 5e+06；解锁持有数=100。</t>
        </is>
      </c>
    </row>
    <row r="123" ht="36" customHeight="1">
      <c r="A123" s="15" t="inlineStr">
        <is>
          <t>prod_cat_06</t>
        </is>
      </c>
      <c r="B123" s="15" t="inlineStr">
        <is>
          <t>猫矿·自动调度</t>
        </is>
      </c>
      <c r="C123" s="31" t="inlineStr">
        <is>
          <t>矿物产能</t>
        </is>
      </c>
      <c r="D123" s="15" t="inlineStr">
        <is>
          <t>cat</t>
        </is>
      </c>
      <c r="E123" s="15" t="n">
        <v>6</v>
      </c>
      <c r="F123" s="15" t="inlineStr">
        <is>
          <t>prod_cat_05</t>
        </is>
      </c>
      <c r="G123" s="15" t="inlineStr">
        <is>
          <t>meta_deep_mining</t>
        </is>
      </c>
      <c r="H123" s="15" t="inlineStr">
        <is>
          <t>cat_owned ≥ 150</t>
        </is>
      </c>
      <c r="I123" s="15" t="inlineStr">
        <is>
          <t>金币</t>
        </is>
      </c>
      <c r="J123" s="33" t="n">
        <v>8.25e+17</v>
      </c>
      <c r="K123" s="15" t="inlineStr">
        <is>
          <t>825Qa</t>
        </is>
      </c>
      <c r="L123" s="32" t="n">
        <v>8.25</v>
      </c>
      <c r="M123" s="15" t="n">
        <v>17</v>
      </c>
      <c r="N123" s="15" t="inlineStr">
        <is>
          <t>BUILDING_CPS_MULT</t>
        </is>
      </c>
      <c r="O123" s="15" t="inlineStr">
        <is>
          <t>cat</t>
        </is>
      </c>
      <c r="P123" s="15" t="inlineStr">
        <is>
          <t>MULTIPLY</t>
        </is>
      </c>
      <c r="Q123" s="15" t="n">
        <v>2</v>
      </c>
      <c r="R123" s="15" t="inlineStr"/>
      <c r="S123" s="15" t="inlineStr">
        <is>
          <t>所有已拥有的猫矿自动建筑产量 ×2；购买后该矿常规升级累计倍率为 ×64。</t>
        </is>
      </c>
      <c r="T123" s="15" t="inlineStr">
        <is>
          <t>升华扩展 I</t>
        </is>
      </c>
      <c r="U123" s="15" t="b">
        <v>0</v>
      </c>
      <c r="V123" s="15" t="inlineStr">
        <is>
          <t>每一级都是独立按钮（max_rank=1）；不要压成一个可连点等级字段。</t>
        </is>
      </c>
      <c r="W123" s="15" t="inlineStr">
        <is>
          <t>cost = 1.65B × 5e+08；解锁持有数=150。</t>
        </is>
      </c>
    </row>
    <row r="124" ht="36" customHeight="1">
      <c r="A124" s="15" t="inlineStr">
        <is>
          <t>prod_cat_07</t>
        </is>
      </c>
      <c r="B124" s="15" t="inlineStr">
        <is>
          <t>猫矿·深层网络</t>
        </is>
      </c>
      <c r="C124" s="31" t="inlineStr">
        <is>
          <t>矿物产能</t>
        </is>
      </c>
      <c r="D124" s="15" t="inlineStr">
        <is>
          <t>cat</t>
        </is>
      </c>
      <c r="E124" s="15" t="n">
        <v>7</v>
      </c>
      <c r="F124" s="15" t="inlineStr">
        <is>
          <t>prod_cat_06</t>
        </is>
      </c>
      <c r="G124" s="15" t="inlineStr">
        <is>
          <t>meta_abyssal_mining</t>
        </is>
      </c>
      <c r="H124" s="15" t="inlineStr">
        <is>
          <t>cat_owned ≥ 200</t>
        </is>
      </c>
      <c r="I124" s="15" t="inlineStr">
        <is>
          <t>金币</t>
        </is>
      </c>
      <c r="J124" s="33" t="n">
        <v>8.25e+20</v>
      </c>
      <c r="K124" s="15" t="inlineStr">
        <is>
          <t>825Qi</t>
        </is>
      </c>
      <c r="L124" s="32" t="n">
        <v>8.25</v>
      </c>
      <c r="M124" s="15" t="n">
        <v>20</v>
      </c>
      <c r="N124" s="15" t="inlineStr">
        <is>
          <t>BUILDING_CPS_MULT</t>
        </is>
      </c>
      <c r="O124" s="15" t="inlineStr">
        <is>
          <t>cat</t>
        </is>
      </c>
      <c r="P124" s="15" t="inlineStr">
        <is>
          <t>MULTIPLY</t>
        </is>
      </c>
      <c r="Q124" s="15" t="n">
        <v>2</v>
      </c>
      <c r="R124" s="15" t="inlineStr"/>
      <c r="S124" s="15" t="inlineStr">
        <is>
          <t>所有已拥有的猫矿自动建筑产量 ×2；购买后该矿常规升级累计倍率为 ×128。</t>
        </is>
      </c>
      <c r="T124" s="15" t="inlineStr">
        <is>
          <t>大数阶段</t>
        </is>
      </c>
      <c r="U124" s="34" t="b">
        <v>1</v>
      </c>
      <c r="V124" s="15" t="inlineStr">
        <is>
          <t>每一级都是独立按钮（max_rank=1）；不要压成一个可连点等级字段。</t>
        </is>
      </c>
      <c r="W124" s="15" t="inlineStr">
        <is>
          <t>cost = 1.65B × 5e+11；解锁持有数=200。</t>
        </is>
      </c>
    </row>
    <row r="125" ht="36" customHeight="1">
      <c r="A125" s="15" t="inlineStr">
        <is>
          <t>prod_cat_08</t>
        </is>
      </c>
      <c r="B125" s="15" t="inlineStr">
        <is>
          <t>猫矿·量子提炼</t>
        </is>
      </c>
      <c r="C125" s="31" t="inlineStr">
        <is>
          <t>矿物产能</t>
        </is>
      </c>
      <c r="D125" s="15" t="inlineStr">
        <is>
          <t>cat</t>
        </is>
      </c>
      <c r="E125" s="15" t="n">
        <v>8</v>
      </c>
      <c r="F125" s="15" t="inlineStr">
        <is>
          <t>prod_cat_07</t>
        </is>
      </c>
      <c r="G125" s="15" t="inlineStr">
        <is>
          <t>meta_abyssal_mining</t>
        </is>
      </c>
      <c r="H125" s="15" t="inlineStr">
        <is>
          <t>cat_owned ≥ 250</t>
        </is>
      </c>
      <c r="I125" s="15" t="inlineStr">
        <is>
          <t>金币</t>
        </is>
      </c>
      <c r="J125" s="33" t="n">
        <v>8.25e+23</v>
      </c>
      <c r="K125" s="15" t="inlineStr">
        <is>
          <t>8.250e+23</t>
        </is>
      </c>
      <c r="L125" s="32" t="n">
        <v>8.25</v>
      </c>
      <c r="M125" s="15" t="n">
        <v>23</v>
      </c>
      <c r="N125" s="15" t="inlineStr">
        <is>
          <t>BUILDING_CPS_MULT</t>
        </is>
      </c>
      <c r="O125" s="15" t="inlineStr">
        <is>
          <t>cat</t>
        </is>
      </c>
      <c r="P125" s="15" t="inlineStr">
        <is>
          <t>MULTIPLY</t>
        </is>
      </c>
      <c r="Q125" s="15" t="n">
        <v>2</v>
      </c>
      <c r="R125" s="15" t="inlineStr"/>
      <c r="S125" s="15" t="inlineStr">
        <is>
          <t>所有已拥有的猫矿自动建筑产量 ×2；购买后该矿常规升级累计倍率为 ×256。</t>
        </is>
      </c>
      <c r="T125" s="15" t="inlineStr">
        <is>
          <t>大数阶段</t>
        </is>
      </c>
      <c r="U125" s="34" t="b">
        <v>1</v>
      </c>
      <c r="V125" s="15" t="inlineStr">
        <is>
          <t>每一级都是独立按钮（max_rank=1）；不要压成一个可连点等级字段。</t>
        </is>
      </c>
      <c r="W125" s="15" t="inlineStr">
        <is>
          <t>cost = 1.65B × 5e+14；解锁持有数=250。</t>
        </is>
      </c>
    </row>
    <row r="126" ht="36" customHeight="1">
      <c r="A126" s="15" t="inlineStr">
        <is>
          <t>prod_cat_09</t>
        </is>
      </c>
      <c r="B126" s="15" t="inlineStr">
        <is>
          <t>猫矿·星核工艺</t>
        </is>
      </c>
      <c r="C126" s="31" t="inlineStr">
        <is>
          <t>矿物产能</t>
        </is>
      </c>
      <c r="D126" s="15" t="inlineStr">
        <is>
          <t>cat</t>
        </is>
      </c>
      <c r="E126" s="15" t="n">
        <v>9</v>
      </c>
      <c r="F126" s="15" t="inlineStr">
        <is>
          <t>prod_cat_08</t>
        </is>
      </c>
      <c r="G126" s="15" t="inlineStr">
        <is>
          <t>meta_abyssal_mining</t>
        </is>
      </c>
      <c r="H126" s="15" t="inlineStr">
        <is>
          <t>cat_owned ≥ 300</t>
        </is>
      </c>
      <c r="I126" s="15" t="inlineStr">
        <is>
          <t>金币</t>
        </is>
      </c>
      <c r="J126" s="33" t="n">
        <v>8.249999999999999e+26</v>
      </c>
      <c r="K126" s="15" t="inlineStr">
        <is>
          <t>8.250e+26</t>
        </is>
      </c>
      <c r="L126" s="32" t="n">
        <v>8.249999999999998</v>
      </c>
      <c r="M126" s="15" t="n">
        <v>26</v>
      </c>
      <c r="N126" s="15" t="inlineStr">
        <is>
          <t>BUILDING_CPS_MULT</t>
        </is>
      </c>
      <c r="O126" s="15" t="inlineStr">
        <is>
          <t>cat</t>
        </is>
      </c>
      <c r="P126" s="15" t="inlineStr">
        <is>
          <t>MULTIPLY</t>
        </is>
      </c>
      <c r="Q126" s="15" t="n">
        <v>2</v>
      </c>
      <c r="R126" s="15" t="inlineStr"/>
      <c r="S126" s="15" t="inlineStr">
        <is>
          <t>所有已拥有的猫矿自动建筑产量 ×2；购买后该矿常规升级累计倍率为 ×512。</t>
        </is>
      </c>
      <c r="T126" s="15" t="inlineStr">
        <is>
          <t>大数阶段</t>
        </is>
      </c>
      <c r="U126" s="34" t="b">
        <v>1</v>
      </c>
      <c r="V126" s="15" t="inlineStr">
        <is>
          <t>每一级都是独立按钮（max_rank=1）；不要压成一个可连点等级字段。</t>
        </is>
      </c>
      <c r="W126" s="15" t="inlineStr">
        <is>
          <t>cost = 1.65B × 5e+17；解锁持有数=300。</t>
        </is>
      </c>
    </row>
    <row r="127" ht="36" customHeight="1">
      <c r="A127" s="15" t="inlineStr">
        <is>
          <t>prod_cat_10</t>
        </is>
      </c>
      <c r="B127" s="15" t="inlineStr">
        <is>
          <t>猫矿·维度开采</t>
        </is>
      </c>
      <c r="C127" s="31" t="inlineStr">
        <is>
          <t>矿物产能</t>
        </is>
      </c>
      <c r="D127" s="15" t="inlineStr">
        <is>
          <t>cat</t>
        </is>
      </c>
      <c r="E127" s="15" t="n">
        <v>10</v>
      </c>
      <c r="F127" s="15" t="inlineStr">
        <is>
          <t>prod_cat_09</t>
        </is>
      </c>
      <c r="G127" s="15" t="inlineStr">
        <is>
          <t>meta_abyssal_mining</t>
        </is>
      </c>
      <c r="H127" s="15" t="inlineStr">
        <is>
          <t>cat_owned ≥ 350</t>
        </is>
      </c>
      <c r="I127" s="15" t="inlineStr">
        <is>
          <t>金币</t>
        </is>
      </c>
      <c r="J127" s="33" t="n">
        <v>8.250000000000001e+29</v>
      </c>
      <c r="K127" s="15" t="inlineStr">
        <is>
          <t>8.250e+29</t>
        </is>
      </c>
      <c r="L127" s="32" t="n">
        <v>8.250000000000002</v>
      </c>
      <c r="M127" s="15" t="n">
        <v>29</v>
      </c>
      <c r="N127" s="15" t="inlineStr">
        <is>
          <t>BUILDING_CPS_MULT</t>
        </is>
      </c>
      <c r="O127" s="15" t="inlineStr">
        <is>
          <t>cat</t>
        </is>
      </c>
      <c r="P127" s="15" t="inlineStr">
        <is>
          <t>MULTIPLY</t>
        </is>
      </c>
      <c r="Q127" s="15" t="n">
        <v>2</v>
      </c>
      <c r="R127" s="15" t="inlineStr"/>
      <c r="S127" s="15" t="inlineStr">
        <is>
          <t>所有已拥有的猫矿自动建筑产量 ×2；购买后该矿常规升级累计倍率为 ×1,024。</t>
        </is>
      </c>
      <c r="T127" s="15" t="inlineStr">
        <is>
          <t>大数阶段</t>
        </is>
      </c>
      <c r="U127" s="34" t="b">
        <v>1</v>
      </c>
      <c r="V127" s="15" t="inlineStr">
        <is>
          <t>每一级都是独立按钮（max_rank=1）；不要压成一个可连点等级字段。</t>
        </is>
      </c>
      <c r="W127" s="15" t="inlineStr">
        <is>
          <t>cost = 1.65B × 5e+20；解锁持有数=350。</t>
        </is>
      </c>
    </row>
    <row r="128" ht="36" customHeight="1">
      <c r="A128" s="15" t="inlineStr">
        <is>
          <t>prod_cat_11</t>
        </is>
      </c>
      <c r="B128" s="15" t="inlineStr">
        <is>
          <t>猫矿·时间压缩</t>
        </is>
      </c>
      <c r="C128" s="31" t="inlineStr">
        <is>
          <t>矿物产能</t>
        </is>
      </c>
      <c r="D128" s="15" t="inlineStr">
        <is>
          <t>cat</t>
        </is>
      </c>
      <c r="E128" s="15" t="n">
        <v>11</v>
      </c>
      <c r="F128" s="15" t="inlineStr">
        <is>
          <t>prod_cat_10</t>
        </is>
      </c>
      <c r="G128" s="15" t="inlineStr">
        <is>
          <t>meta_endless_mining</t>
        </is>
      </c>
      <c r="H128" s="15" t="inlineStr">
        <is>
          <t>cat_owned ≥ 400</t>
        </is>
      </c>
      <c r="I128" s="15" t="inlineStr">
        <is>
          <t>金币</t>
        </is>
      </c>
      <c r="J128" s="33" t="n">
        <v>8.250000000000001e+33</v>
      </c>
      <c r="K128" s="15" t="inlineStr">
        <is>
          <t>8.250e+33</t>
        </is>
      </c>
      <c r="L128" s="32" t="n">
        <v>8.250000000000002</v>
      </c>
      <c r="M128" s="15" t="n">
        <v>33</v>
      </c>
      <c r="N128" s="15" t="inlineStr">
        <is>
          <t>BUILDING_CPS_MULT</t>
        </is>
      </c>
      <c r="O128" s="15" t="inlineStr">
        <is>
          <t>cat</t>
        </is>
      </c>
      <c r="P128" s="15" t="inlineStr">
        <is>
          <t>MULTIPLY</t>
        </is>
      </c>
      <c r="Q128" s="15" t="n">
        <v>2</v>
      </c>
      <c r="R128" s="15" t="inlineStr"/>
      <c r="S128" s="15" t="inlineStr">
        <is>
          <t>所有已拥有的猫矿自动建筑产量 ×2；购买后该矿常规升级累计倍率为 ×2,048。</t>
        </is>
      </c>
      <c r="T128" s="15" t="inlineStr">
        <is>
          <t>终局阶段</t>
        </is>
      </c>
      <c r="U128" s="34" t="b">
        <v>1</v>
      </c>
      <c r="V128" s="15" t="inlineStr">
        <is>
          <t>每一级都是独立按钮（max_rank=1）；不要压成一个可连点等级字段。</t>
        </is>
      </c>
      <c r="W128" s="15" t="inlineStr">
        <is>
          <t>cost = 1.65B × 5e+24；解锁持有数=400。</t>
        </is>
      </c>
    </row>
    <row r="129" ht="36" customHeight="1">
      <c r="A129" s="15" t="inlineStr">
        <is>
          <t>prod_cat_12</t>
        </is>
      </c>
      <c r="B129" s="15" t="inlineStr">
        <is>
          <t>猫矿·因果矿脉</t>
        </is>
      </c>
      <c r="C129" s="31" t="inlineStr">
        <is>
          <t>矿物产能</t>
        </is>
      </c>
      <c r="D129" s="15" t="inlineStr">
        <is>
          <t>cat</t>
        </is>
      </c>
      <c r="E129" s="15" t="n">
        <v>12</v>
      </c>
      <c r="F129" s="15" t="inlineStr">
        <is>
          <t>prod_cat_11</t>
        </is>
      </c>
      <c r="G129" s="15" t="inlineStr">
        <is>
          <t>meta_endless_mining</t>
        </is>
      </c>
      <c r="H129" s="15" t="inlineStr">
        <is>
          <t>cat_owned ≥ 450</t>
        </is>
      </c>
      <c r="I129" s="15" t="inlineStr">
        <is>
          <t>金币</t>
        </is>
      </c>
      <c r="J129" s="33" t="n">
        <v>8.249999999999999e+37</v>
      </c>
      <c r="K129" s="15" t="inlineStr">
        <is>
          <t>8.250e+37</t>
        </is>
      </c>
      <c r="L129" s="32" t="n">
        <v>8.25</v>
      </c>
      <c r="M129" s="15" t="n">
        <v>37</v>
      </c>
      <c r="N129" s="15" t="inlineStr">
        <is>
          <t>BUILDING_CPS_MULT</t>
        </is>
      </c>
      <c r="O129" s="15" t="inlineStr">
        <is>
          <t>cat</t>
        </is>
      </c>
      <c r="P129" s="15" t="inlineStr">
        <is>
          <t>MULTIPLY</t>
        </is>
      </c>
      <c r="Q129" s="15" t="n">
        <v>2</v>
      </c>
      <c r="R129" s="15" t="inlineStr"/>
      <c r="S129" s="15" t="inlineStr">
        <is>
          <t>所有已拥有的猫矿自动建筑产量 ×2；购买后该矿常规升级累计倍率为 ×4,096。</t>
        </is>
      </c>
      <c r="T129" s="15" t="inlineStr">
        <is>
          <t>终局阶段</t>
        </is>
      </c>
      <c r="U129" s="34" t="b">
        <v>1</v>
      </c>
      <c r="V129" s="15" t="inlineStr">
        <is>
          <t>每一级都是独立按钮（max_rank=1）；不要压成一个可连点等级字段。</t>
        </is>
      </c>
      <c r="W129" s="15" t="inlineStr">
        <is>
          <t>cost = 1.65B × 5e+28；解锁持有数=450。</t>
        </is>
      </c>
    </row>
    <row r="130" ht="36" customHeight="1">
      <c r="A130" s="15" t="inlineStr">
        <is>
          <t>prod_cat_13</t>
        </is>
      </c>
      <c r="B130" s="15" t="inlineStr">
        <is>
          <t>猫矿·无限矿区</t>
        </is>
      </c>
      <c r="C130" s="31" t="inlineStr">
        <is>
          <t>矿物产能</t>
        </is>
      </c>
      <c r="D130" s="15" t="inlineStr">
        <is>
          <t>cat</t>
        </is>
      </c>
      <c r="E130" s="15" t="n">
        <v>13</v>
      </c>
      <c r="F130" s="15" t="inlineStr">
        <is>
          <t>prod_cat_12</t>
        </is>
      </c>
      <c r="G130" s="15" t="inlineStr">
        <is>
          <t>meta_endless_mining</t>
        </is>
      </c>
      <c r="H130" s="15" t="inlineStr">
        <is>
          <t>cat_owned ≥ 500</t>
        </is>
      </c>
      <c r="I130" s="15" t="inlineStr">
        <is>
          <t>金币</t>
        </is>
      </c>
      <c r="J130" s="33" t="n">
        <v>8.25e+41</v>
      </c>
      <c r="K130" s="15" t="inlineStr">
        <is>
          <t>8.250e+41</t>
        </is>
      </c>
      <c r="L130" s="32" t="n">
        <v>8.25</v>
      </c>
      <c r="M130" s="15" t="n">
        <v>41</v>
      </c>
      <c r="N130" s="15" t="inlineStr">
        <is>
          <t>BUILDING_CPS_MULT</t>
        </is>
      </c>
      <c r="O130" s="15" t="inlineStr">
        <is>
          <t>cat</t>
        </is>
      </c>
      <c r="P130" s="15" t="inlineStr">
        <is>
          <t>MULTIPLY</t>
        </is>
      </c>
      <c r="Q130" s="15" t="n">
        <v>2</v>
      </c>
      <c r="R130" s="15" t="inlineStr"/>
      <c r="S130" s="15" t="inlineStr">
        <is>
          <t>所有已拥有的猫矿自动建筑产量 ×2；购买后该矿常规升级累计倍率为 ×8,192。</t>
        </is>
      </c>
      <c r="T130" s="15" t="inlineStr">
        <is>
          <t>终局阶段</t>
        </is>
      </c>
      <c r="U130" s="34" t="b">
        <v>1</v>
      </c>
      <c r="V130" s="15" t="inlineStr">
        <is>
          <t>每一级都是独立按钮（max_rank=1）；不要压成一个可连点等级字段。</t>
        </is>
      </c>
      <c r="W130" s="15" t="inlineStr">
        <is>
          <t>cost = 1.65B × 5e+32；解锁持有数=500。</t>
        </is>
      </c>
    </row>
    <row r="131" ht="36" customHeight="1">
      <c r="A131" s="15" t="inlineStr">
        <is>
          <t>prod_cat_14</t>
        </is>
      </c>
      <c r="B131" s="15" t="inlineStr">
        <is>
          <t>猫矿·概念提炼</t>
        </is>
      </c>
      <c r="C131" s="31" t="inlineStr">
        <is>
          <t>矿物产能</t>
        </is>
      </c>
      <c r="D131" s="15" t="inlineStr">
        <is>
          <t>cat</t>
        </is>
      </c>
      <c r="E131" s="15" t="n">
        <v>14</v>
      </c>
      <c r="F131" s="15" t="inlineStr">
        <is>
          <t>prod_cat_13</t>
        </is>
      </c>
      <c r="G131" s="15" t="inlineStr">
        <is>
          <t>meta_endless_mining</t>
        </is>
      </c>
      <c r="H131" s="15" t="inlineStr">
        <is>
          <t>cat_owned ≥ 550</t>
        </is>
      </c>
      <c r="I131" s="15" t="inlineStr">
        <is>
          <t>金币</t>
        </is>
      </c>
      <c r="J131" s="33" t="n">
        <v>8.249999999999999e+45</v>
      </c>
      <c r="K131" s="15" t="inlineStr">
        <is>
          <t>8.250e+45</t>
        </is>
      </c>
      <c r="L131" s="32" t="n">
        <v>8.25</v>
      </c>
      <c r="M131" s="15" t="n">
        <v>45</v>
      </c>
      <c r="N131" s="15" t="inlineStr">
        <is>
          <t>BUILDING_CPS_MULT</t>
        </is>
      </c>
      <c r="O131" s="15" t="inlineStr">
        <is>
          <t>cat</t>
        </is>
      </c>
      <c r="P131" s="15" t="inlineStr">
        <is>
          <t>MULTIPLY</t>
        </is>
      </c>
      <c r="Q131" s="15" t="n">
        <v>2</v>
      </c>
      <c r="R131" s="15" t="inlineStr"/>
      <c r="S131" s="15" t="inlineStr">
        <is>
          <t>所有已拥有的猫矿自动建筑产量 ×2；购买后该矿常规升级累计倍率为 ×16,384。</t>
        </is>
      </c>
      <c r="T131" s="15" t="inlineStr">
        <is>
          <t>终局阶段</t>
        </is>
      </c>
      <c r="U131" s="34" t="b">
        <v>1</v>
      </c>
      <c r="V131" s="15" t="inlineStr">
        <is>
          <t>每一级都是独立按钮（max_rank=1）；不要压成一个可连点等级字段。</t>
        </is>
      </c>
      <c r="W131" s="15" t="inlineStr">
        <is>
          <t>cost = 1.65B × 5e+36；解锁持有数=550。</t>
        </is>
      </c>
    </row>
    <row r="132" ht="36" customHeight="1">
      <c r="A132" s="15" t="inlineStr">
        <is>
          <t>prod_cat_15</t>
        </is>
      </c>
      <c r="B132" s="15" t="inlineStr">
        <is>
          <t>猫矿·终极产能</t>
        </is>
      </c>
      <c r="C132" s="31" t="inlineStr">
        <is>
          <t>矿物产能</t>
        </is>
      </c>
      <c r="D132" s="15" t="inlineStr">
        <is>
          <t>cat</t>
        </is>
      </c>
      <c r="E132" s="15" t="n">
        <v>15</v>
      </c>
      <c r="F132" s="15" t="inlineStr">
        <is>
          <t>prod_cat_14</t>
        </is>
      </c>
      <c r="G132" s="15" t="inlineStr">
        <is>
          <t>meta_endless_mining</t>
        </is>
      </c>
      <c r="H132" s="15" t="inlineStr">
        <is>
          <t>cat_owned ≥ 600</t>
        </is>
      </c>
      <c r="I132" s="15" t="inlineStr">
        <is>
          <t>金币</t>
        </is>
      </c>
      <c r="J132" s="33" t="n">
        <v>8.25e+49</v>
      </c>
      <c r="K132" s="15" t="inlineStr">
        <is>
          <t>8.250e+49</t>
        </is>
      </c>
      <c r="L132" s="32" t="n">
        <v>8.25</v>
      </c>
      <c r="M132" s="15" t="n">
        <v>49</v>
      </c>
      <c r="N132" s="15" t="inlineStr">
        <is>
          <t>BUILDING_CPS_MULT</t>
        </is>
      </c>
      <c r="O132" s="15" t="inlineStr">
        <is>
          <t>cat</t>
        </is>
      </c>
      <c r="P132" s="15" t="inlineStr">
        <is>
          <t>MULTIPLY</t>
        </is>
      </c>
      <c r="Q132" s="15" t="n">
        <v>2</v>
      </c>
      <c r="R132" s="15" t="inlineStr"/>
      <c r="S132" s="15" t="inlineStr">
        <is>
          <t>所有已拥有的猫矿自动建筑产量 ×2；购买后该矿常规升级累计倍率为 ×32,768。</t>
        </is>
      </c>
      <c r="T132" s="15" t="inlineStr">
        <is>
          <t>终局阶段</t>
        </is>
      </c>
      <c r="U132" s="34" t="b">
        <v>1</v>
      </c>
      <c r="V132" s="15" t="inlineStr">
        <is>
          <t>每一级都是独立按钮（max_rank=1）；不要压成一个可连点等级字段。</t>
        </is>
      </c>
      <c r="W132" s="15" t="inlineStr">
        <is>
          <t>cost = 1.65B × 5e+40；解锁持有数=600。</t>
        </is>
      </c>
    </row>
    <row r="133" ht="36" customHeight="1">
      <c r="A133" s="15" t="inlineStr">
        <is>
          <t>unlock_tile_dirt</t>
        </is>
      </c>
      <c r="B133" s="15" t="inlineStr">
        <is>
          <t>解锁地块·泥土</t>
        </is>
      </c>
      <c r="C133" s="35" t="inlineStr">
        <is>
          <t>地块解锁</t>
        </is>
      </c>
      <c r="D133" s="15" t="inlineStr">
        <is>
          <t>dirt</t>
        </is>
      </c>
      <c r="E133" s="15" t="inlineStr">
        <is>
          <t>Unlock</t>
        </is>
      </c>
      <c r="F133" s="15" t="inlineStr"/>
      <c r="G133" s="15" t="inlineStr"/>
      <c r="H133" s="15" t="inlineStr">
        <is>
          <t>开局已购买</t>
        </is>
      </c>
      <c r="I133" s="15" t="inlineStr">
        <is>
          <t>金币</t>
        </is>
      </c>
      <c r="J133" s="20" t="n">
        <v>0</v>
      </c>
      <c r="K133" s="15" t="inlineStr">
        <is>
          <t>0</t>
        </is>
      </c>
      <c r="L133" s="32" t="n">
        <v>0</v>
      </c>
      <c r="M133" s="15" t="n">
        <v>0</v>
      </c>
      <c r="N133" s="15" t="inlineStr">
        <is>
          <t>UNLOCK_TILE</t>
        </is>
      </c>
      <c r="O133" s="15" t="inlineStr">
        <is>
          <t>dirt</t>
        </is>
      </c>
      <c r="P133" s="15" t="inlineStr">
        <is>
          <t>UNLOCK</t>
        </is>
      </c>
      <c r="Q133" s="15" t="n">
        <v>1</v>
      </c>
      <c r="R133" s="15" t="inlineStr"/>
      <c r="S133" s="15" t="inlineStr">
        <is>
          <t>解锁 dirt 的购买与放置；当前行为：无效果。</t>
        </is>
      </c>
      <c r="T133" s="15" t="inlineStr">
        <is>
          <t>本轮核心</t>
        </is>
      </c>
      <c r="U133" s="15" t="b">
        <v>0</v>
      </c>
      <c r="V133" s="15" t="inlineStr">
        <is>
          <t>V3地块需先购买到库存，放置/移除不再免费创造或销毁。</t>
        </is>
      </c>
      <c r="W133" s="15" t="inlineStr">
        <is>
          <t>默认dirt/grass免费；其余解锁成本严格等于地块BasePlaceCost×0.5。</t>
        </is>
      </c>
    </row>
    <row r="134" ht="36" customHeight="1">
      <c r="A134" s="15" t="inlineStr">
        <is>
          <t>unlock_tile_grass</t>
        </is>
      </c>
      <c r="B134" s="15" t="inlineStr">
        <is>
          <t>解锁地块·草地</t>
        </is>
      </c>
      <c r="C134" s="35" t="inlineStr">
        <is>
          <t>地块解锁</t>
        </is>
      </c>
      <c r="D134" s="15" t="inlineStr">
        <is>
          <t>grass</t>
        </is>
      </c>
      <c r="E134" s="15" t="inlineStr">
        <is>
          <t>Unlock</t>
        </is>
      </c>
      <c r="F134" s="15" t="inlineStr"/>
      <c r="G134" s="15" t="inlineStr"/>
      <c r="H134" s="15" t="inlineStr">
        <is>
          <t>开局已购买</t>
        </is>
      </c>
      <c r="I134" s="15" t="inlineStr">
        <is>
          <t>金币</t>
        </is>
      </c>
      <c r="J134" s="20" t="n">
        <v>0</v>
      </c>
      <c r="K134" s="15" t="inlineStr">
        <is>
          <t>0</t>
        </is>
      </c>
      <c r="L134" s="32" t="n">
        <v>0</v>
      </c>
      <c r="M134" s="15" t="n">
        <v>0</v>
      </c>
      <c r="N134" s="15" t="inlineStr">
        <is>
          <t>UNLOCK_TILE</t>
        </is>
      </c>
      <c r="O134" s="15" t="inlineStr">
        <is>
          <t>grass</t>
        </is>
      </c>
      <c r="P134" s="15" t="inlineStr">
        <is>
          <t>UNLOCK</t>
        </is>
      </c>
      <c r="Q134" s="15" t="n">
        <v>1</v>
      </c>
      <c r="R134" s="15" t="inlineStr"/>
      <c r="S134" s="15" t="inlineStr">
        <is>
          <t>解锁 grass 的购买与放置；当前行为：手挖伤害×1.5；开局9块。</t>
        </is>
      </c>
      <c r="T134" s="15" t="inlineStr">
        <is>
          <t>本轮核心</t>
        </is>
      </c>
      <c r="U134" s="15" t="b">
        <v>0</v>
      </c>
      <c r="V134" s="15" t="inlineStr">
        <is>
          <t>V3地块需先购买到库存，放置/移除不再免费创造或销毁。</t>
        </is>
      </c>
      <c r="W134" s="15" t="inlineStr">
        <is>
          <t>默认dirt/grass免费；其余解锁成本严格等于地块BasePlaceCost×0.5。</t>
        </is>
      </c>
    </row>
    <row r="135" ht="36" customHeight="1">
      <c r="A135" s="15" t="inlineStr">
        <is>
          <t>unlock_tile_stone</t>
        </is>
      </c>
      <c r="B135" s="15" t="inlineStr">
        <is>
          <t>解锁地块·石头</t>
        </is>
      </c>
      <c r="C135" s="35" t="inlineStr">
        <is>
          <t>地块解锁</t>
        </is>
      </c>
      <c r="D135" s="15" t="inlineStr">
        <is>
          <t>stone</t>
        </is>
      </c>
      <c r="E135" s="15" t="inlineStr">
        <is>
          <t>Unlock</t>
        </is>
      </c>
      <c r="F135" s="15" t="inlineStr">
        <is>
          <t>unlock_tile_grass</t>
        </is>
      </c>
      <c r="G135" s="15" t="inlineStr"/>
      <c r="H135" s="15" t="inlineStr">
        <is>
          <t>已解锁前置地块 grass</t>
        </is>
      </c>
      <c r="I135" s="15" t="inlineStr">
        <is>
          <t>金币</t>
        </is>
      </c>
      <c r="J135" s="20" t="n">
        <v>125</v>
      </c>
      <c r="K135" s="15" t="inlineStr">
        <is>
          <t>125</t>
        </is>
      </c>
      <c r="L135" s="32" t="n">
        <v>1.25</v>
      </c>
      <c r="M135" s="15" t="n">
        <v>2</v>
      </c>
      <c r="N135" s="15" t="inlineStr">
        <is>
          <t>UNLOCK_TILE</t>
        </is>
      </c>
      <c r="O135" s="15" t="inlineStr">
        <is>
          <t>stone</t>
        </is>
      </c>
      <c r="P135" s="15" t="inlineStr">
        <is>
          <t>UNLOCK</t>
        </is>
      </c>
      <c r="Q135" s="15" t="n">
        <v>1</v>
      </c>
      <c r="R135" s="15" t="inlineStr"/>
      <c r="S135" s="15" t="inlineStr">
        <is>
          <t>解锁 stone 的购买与放置；当前行为：同格矿物结算×1.5。</t>
        </is>
      </c>
      <c r="T135" s="15" t="inlineStr">
        <is>
          <t>本轮核心</t>
        </is>
      </c>
      <c r="U135" s="15" t="b">
        <v>0</v>
      </c>
      <c r="V135" s="15" t="inlineStr">
        <is>
          <t>V3地块需先购买到库存，放置/移除不再免费创造或销毁。</t>
        </is>
      </c>
      <c r="W135" s="15" t="inlineStr">
        <is>
          <t>默认dirt/grass免费；其余解锁成本严格等于地块BasePlaceCost×0.5。</t>
        </is>
      </c>
    </row>
    <row r="136" ht="36" customHeight="1">
      <c r="A136" s="15" t="inlineStr">
        <is>
          <t>unlock_tile_water</t>
        </is>
      </c>
      <c r="B136" s="15" t="inlineStr">
        <is>
          <t>解锁地块·水域</t>
        </is>
      </c>
      <c r="C136" s="35" t="inlineStr">
        <is>
          <t>地块解锁</t>
        </is>
      </c>
      <c r="D136" s="15" t="inlineStr">
        <is>
          <t>water</t>
        </is>
      </c>
      <c r="E136" s="15" t="inlineStr">
        <is>
          <t>Unlock</t>
        </is>
      </c>
      <c r="F136" s="15" t="inlineStr">
        <is>
          <t>unlock_tile_stone</t>
        </is>
      </c>
      <c r="G136" s="15" t="inlineStr"/>
      <c r="H136" s="15" t="inlineStr">
        <is>
          <t>已解锁前置地块 stone</t>
        </is>
      </c>
      <c r="I136" s="15" t="inlineStr">
        <is>
          <t>金币</t>
        </is>
      </c>
      <c r="J136" s="20" t="n">
        <v>1250</v>
      </c>
      <c r="K136" s="15" t="inlineStr">
        <is>
          <t>1.25K</t>
        </is>
      </c>
      <c r="L136" s="32" t="n">
        <v>1.25</v>
      </c>
      <c r="M136" s="15" t="n">
        <v>3</v>
      </c>
      <c r="N136" s="15" t="inlineStr">
        <is>
          <t>UNLOCK_TILE</t>
        </is>
      </c>
      <c r="O136" s="15" t="inlineStr">
        <is>
          <t>water</t>
        </is>
      </c>
      <c r="P136" s="15" t="inlineStr">
        <is>
          <t>UNLOCK</t>
        </is>
      </c>
      <c r="Q136" s="15" t="n">
        <v>1</v>
      </c>
      <c r="R136" s="15" t="inlineStr"/>
      <c r="S136" s="15" t="inlineStr">
        <is>
          <t>解锁 water 的购买与放置；当前行为：落矿沉没，返还10%。</t>
        </is>
      </c>
      <c r="T136" s="15" t="inlineStr">
        <is>
          <t>本轮核心</t>
        </is>
      </c>
      <c r="U136" s="15" t="b">
        <v>0</v>
      </c>
      <c r="V136" s="15" t="inlineStr">
        <is>
          <t>V3地块需先购买到库存，放置/移除不再免费创造或销毁。</t>
        </is>
      </c>
      <c r="W136" s="15" t="inlineStr">
        <is>
          <t>默认dirt/grass免费；其余解锁成本严格等于地块BasePlaceCost×0.5。</t>
        </is>
      </c>
    </row>
    <row r="137" ht="36" customHeight="1">
      <c r="A137" s="15" t="inlineStr">
        <is>
          <t>unlock_tile_fire</t>
        </is>
      </c>
      <c r="B137" s="15" t="inlineStr">
        <is>
          <t>解锁地块·熔岩</t>
        </is>
      </c>
      <c r="C137" s="35" t="inlineStr">
        <is>
          <t>地块解锁</t>
        </is>
      </c>
      <c r="D137" s="15" t="inlineStr">
        <is>
          <t>fire</t>
        </is>
      </c>
      <c r="E137" s="15" t="inlineStr">
        <is>
          <t>Unlock</t>
        </is>
      </c>
      <c r="F137" s="15" t="inlineStr">
        <is>
          <t>unlock_tile_water</t>
        </is>
      </c>
      <c r="G137" s="15" t="inlineStr"/>
      <c r="H137" s="15" t="inlineStr">
        <is>
          <t>已解锁前置地块 water</t>
        </is>
      </c>
      <c r="I137" s="15" t="inlineStr">
        <is>
          <t>金币</t>
        </is>
      </c>
      <c r="J137" s="20" t="n">
        <v>12500</v>
      </c>
      <c r="K137" s="15" t="inlineStr">
        <is>
          <t>12.5K</t>
        </is>
      </c>
      <c r="L137" s="32" t="n">
        <v>1.25</v>
      </c>
      <c r="M137" s="15" t="n">
        <v>4</v>
      </c>
      <c r="N137" s="15" t="inlineStr">
        <is>
          <t>UNLOCK_TILE</t>
        </is>
      </c>
      <c r="O137" s="15" t="inlineStr">
        <is>
          <t>fire</t>
        </is>
      </c>
      <c r="P137" s="15" t="inlineStr">
        <is>
          <t>UNLOCK</t>
        </is>
      </c>
      <c r="Q137" s="15" t="n">
        <v>1</v>
      </c>
      <c r="R137" s="15" t="inlineStr"/>
      <c r="S137" s="15" t="inlineStr">
        <is>
          <t>解锁 fire 的购买与放置；当前行为：每1秒同格10伤害。</t>
        </is>
      </c>
      <c r="T137" s="15" t="inlineStr">
        <is>
          <t>本轮核心</t>
        </is>
      </c>
      <c r="U137" s="15" t="b">
        <v>0</v>
      </c>
      <c r="V137" s="15" t="inlineStr">
        <is>
          <t>V3地块需先购买到库存，放置/移除不再免费创造或销毁。</t>
        </is>
      </c>
      <c r="W137" s="15" t="inlineStr">
        <is>
          <t>默认dirt/grass免费；其余解锁成本严格等于地块BasePlaceCost×0.5。</t>
        </is>
      </c>
    </row>
    <row r="138" ht="36" customHeight="1">
      <c r="A138" s="15" t="inlineStr">
        <is>
          <t>unlock_tile_push</t>
        </is>
      </c>
      <c r="B138" s="15" t="inlineStr">
        <is>
          <t>解锁地块·传送带</t>
        </is>
      </c>
      <c r="C138" s="35" t="inlineStr">
        <is>
          <t>地块解锁</t>
        </is>
      </c>
      <c r="D138" s="15" t="inlineStr">
        <is>
          <t>push</t>
        </is>
      </c>
      <c r="E138" s="15" t="inlineStr">
        <is>
          <t>Unlock</t>
        </is>
      </c>
      <c r="F138" s="15" t="inlineStr">
        <is>
          <t>unlock_tile_fire</t>
        </is>
      </c>
      <c r="G138" s="15" t="inlineStr"/>
      <c r="H138" s="15" t="inlineStr">
        <is>
          <t>已解锁前置地块 fire</t>
        </is>
      </c>
      <c r="I138" s="15" t="inlineStr">
        <is>
          <t>金币</t>
        </is>
      </c>
      <c r="J138" s="20" t="n">
        <v>50000</v>
      </c>
      <c r="K138" s="15" t="inlineStr">
        <is>
          <t>50K</t>
        </is>
      </c>
      <c r="L138" s="32" t="n">
        <v>5</v>
      </c>
      <c r="M138" s="15" t="n">
        <v>4</v>
      </c>
      <c r="N138" s="15" t="inlineStr">
        <is>
          <t>UNLOCK_TILE</t>
        </is>
      </c>
      <c r="O138" s="15" t="inlineStr">
        <is>
          <t>push</t>
        </is>
      </c>
      <c r="P138" s="15" t="inlineStr">
        <is>
          <t>UNLOCK</t>
        </is>
      </c>
      <c r="Q138" s="15" t="n">
        <v>1</v>
      </c>
      <c r="R138" s="15" t="inlineStr"/>
      <c r="S138" s="15" t="inlineStr">
        <is>
          <t>解锁 push 的购买与放置；当前行为：每2秒随机推矿。</t>
        </is>
      </c>
      <c r="T138" s="15" t="inlineStr">
        <is>
          <t>本轮核心</t>
        </is>
      </c>
      <c r="U138" s="15" t="b">
        <v>0</v>
      </c>
      <c r="V138" s="15" t="inlineStr">
        <is>
          <t>V3地块需先购买到库存，放置/移除不再免费创造或销毁。</t>
        </is>
      </c>
      <c r="W138" s="15" t="inlineStr">
        <is>
          <t>默认dirt/grass免费；其余解锁成本严格等于地块BasePlaceCost×0.5。</t>
        </is>
      </c>
    </row>
    <row r="139" ht="36" customHeight="1">
      <c r="A139" s="15" t="inlineStr">
        <is>
          <t>unlock_tile_pull</t>
        </is>
      </c>
      <c r="B139" s="15" t="inlineStr">
        <is>
          <t>解锁地块·磁吸</t>
        </is>
      </c>
      <c r="C139" s="35" t="inlineStr">
        <is>
          <t>地块解锁</t>
        </is>
      </c>
      <c r="D139" s="15" t="inlineStr">
        <is>
          <t>pull</t>
        </is>
      </c>
      <c r="E139" s="15" t="inlineStr">
        <is>
          <t>Unlock</t>
        </is>
      </c>
      <c r="F139" s="15" t="inlineStr">
        <is>
          <t>unlock_tile_push</t>
        </is>
      </c>
      <c r="G139" s="15" t="inlineStr"/>
      <c r="H139" s="15" t="inlineStr">
        <is>
          <t>已解锁前置地块 push</t>
        </is>
      </c>
      <c r="I139" s="15" t="inlineStr">
        <is>
          <t>金币</t>
        </is>
      </c>
      <c r="J139" s="20" t="n">
        <v>125000</v>
      </c>
      <c r="K139" s="15" t="inlineStr">
        <is>
          <t>125K</t>
        </is>
      </c>
      <c r="L139" s="32" t="n">
        <v>1.25</v>
      </c>
      <c r="M139" s="15" t="n">
        <v>5</v>
      </c>
      <c r="N139" s="15" t="inlineStr">
        <is>
          <t>UNLOCK_TILE</t>
        </is>
      </c>
      <c r="O139" s="15" t="inlineStr">
        <is>
          <t>pull</t>
        </is>
      </c>
      <c r="P139" s="15" t="inlineStr">
        <is>
          <t>UNLOCK</t>
        </is>
      </c>
      <c r="Q139" s="15" t="n">
        <v>1</v>
      </c>
      <c r="R139" s="15" t="inlineStr"/>
      <c r="S139" s="15" t="inlineStr">
        <is>
          <t>解锁 pull 的购买与放置；当前行为：每2秒吸邻格矿。</t>
        </is>
      </c>
      <c r="T139" s="15" t="inlineStr">
        <is>
          <t>本轮核心</t>
        </is>
      </c>
      <c r="U139" s="15" t="b">
        <v>0</v>
      </c>
      <c r="V139" s="15" t="inlineStr">
        <is>
          <t>V3地块需先购买到库存，放置/移除不再免费创造或销毁。</t>
        </is>
      </c>
      <c r="W139" s="15" t="inlineStr">
        <is>
          <t>默认dirt/grass免费；其余解锁成本严格等于地块BasePlaceCost×0.5。</t>
        </is>
      </c>
    </row>
    <row r="140" ht="36" customHeight="1">
      <c r="A140" s="15" t="inlineStr">
        <is>
          <t>unlock_tile_volcano_stable</t>
        </is>
      </c>
      <c r="B140" s="15" t="inlineStr">
        <is>
          <t>解锁地块·稳定火山</t>
        </is>
      </c>
      <c r="C140" s="35" t="inlineStr">
        <is>
          <t>地块解锁</t>
        </is>
      </c>
      <c r="D140" s="15" t="inlineStr">
        <is>
          <t>volcano_stable</t>
        </is>
      </c>
      <c r="E140" s="15" t="inlineStr">
        <is>
          <t>Unlock</t>
        </is>
      </c>
      <c r="F140" s="15" t="inlineStr">
        <is>
          <t>unlock_tile_pull</t>
        </is>
      </c>
      <c r="G140" s="15" t="inlineStr"/>
      <c r="H140" s="15" t="inlineStr">
        <is>
          <t>已解锁前置地块 pull</t>
        </is>
      </c>
      <c r="I140" s="15" t="inlineStr">
        <is>
          <t>金币</t>
        </is>
      </c>
      <c r="J140" s="20" t="n">
        <v>250000</v>
      </c>
      <c r="K140" s="15" t="inlineStr">
        <is>
          <t>250K</t>
        </is>
      </c>
      <c r="L140" s="32" t="n">
        <v>2.5</v>
      </c>
      <c r="M140" s="15" t="n">
        <v>5</v>
      </c>
      <c r="N140" s="15" t="inlineStr">
        <is>
          <t>UNLOCK_TILE</t>
        </is>
      </c>
      <c r="O140" s="15" t="inlineStr">
        <is>
          <t>volcano_stable</t>
        </is>
      </c>
      <c r="P140" s="15" t="inlineStr">
        <is>
          <t>UNLOCK</t>
        </is>
      </c>
      <c r="Q140" s="15" t="n">
        <v>1</v>
      </c>
      <c r="R140" s="15" t="inlineStr"/>
      <c r="S140" s="15" t="inlineStr">
        <is>
          <t>解锁 volcano_stable 的购买与放置；当前行为：每2秒对四邻30伤害。</t>
        </is>
      </c>
      <c r="T140" s="15" t="inlineStr">
        <is>
          <t>本轮核心</t>
        </is>
      </c>
      <c r="U140" s="15" t="b">
        <v>0</v>
      </c>
      <c r="V140" s="15" t="inlineStr">
        <is>
          <t>V3地块需先购买到库存，放置/移除不再免费创造或销毁。</t>
        </is>
      </c>
      <c r="W140" s="15" t="inlineStr">
        <is>
          <t>默认dirt/grass免费；其余解锁成本严格等于地块BasePlaceCost×0.5。</t>
        </is>
      </c>
    </row>
    <row r="141" ht="36" customHeight="1">
      <c r="A141" s="15" t="inlineStr">
        <is>
          <t>unlock_tile_upgrade</t>
        </is>
      </c>
      <c r="B141" s="15" t="inlineStr">
        <is>
          <t>解锁地块·升级台</t>
        </is>
      </c>
      <c r="C141" s="35" t="inlineStr">
        <is>
          <t>地块解锁</t>
        </is>
      </c>
      <c r="D141" s="15" t="inlineStr">
        <is>
          <t>upgrade</t>
        </is>
      </c>
      <c r="E141" s="15" t="inlineStr">
        <is>
          <t>Unlock</t>
        </is>
      </c>
      <c r="F141" s="15" t="inlineStr">
        <is>
          <t>unlock_tile_volcano_stable</t>
        </is>
      </c>
      <c r="G141" s="15" t="inlineStr"/>
      <c r="H141" s="15" t="inlineStr">
        <is>
          <t>已解锁前置地块 volcano_stable</t>
        </is>
      </c>
      <c r="I141" s="15" t="inlineStr">
        <is>
          <t>金币</t>
        </is>
      </c>
      <c r="J141" s="20" t="n">
        <v>1250000</v>
      </c>
      <c r="K141" s="15" t="inlineStr">
        <is>
          <t>1.25M</t>
        </is>
      </c>
      <c r="L141" s="32" t="n">
        <v>1.25</v>
      </c>
      <c r="M141" s="15" t="n">
        <v>6</v>
      </c>
      <c r="N141" s="15" t="inlineStr">
        <is>
          <t>UNLOCK_TILE</t>
        </is>
      </c>
      <c r="O141" s="15" t="inlineStr">
        <is>
          <t>upgrade</t>
        </is>
      </c>
      <c r="P141" s="15" t="inlineStr">
        <is>
          <t>UNLOCK</t>
        </is>
      </c>
      <c r="Q141" s="15" t="n">
        <v>1</v>
      </c>
      <c r="R141" s="15" t="inlineStr"/>
      <c r="S141" s="15" t="inlineStr">
        <is>
          <t>解锁 upgrade 的购买与放置；当前行为：每3秒令同格实体矿+1级。</t>
        </is>
      </c>
      <c r="T141" s="15" t="inlineStr">
        <is>
          <t>本轮核心</t>
        </is>
      </c>
      <c r="U141" s="15" t="b">
        <v>0</v>
      </c>
      <c r="V141" s="15" t="inlineStr">
        <is>
          <t>V3地块需先购买到库存，放置/移除不再免费创造或销毁。</t>
        </is>
      </c>
      <c r="W141" s="15" t="inlineStr">
        <is>
          <t>默认dirt/grass免费；其余解锁成本严格等于地块BasePlaceCost×0.5。</t>
        </is>
      </c>
    </row>
    <row r="142" ht="36" customHeight="1">
      <c r="A142" s="15" t="inlineStr">
        <is>
          <t>unlock_tile_rarity</t>
        </is>
      </c>
      <c r="B142" s="15" t="inlineStr">
        <is>
          <t>解锁地块·稀有矿脉</t>
        </is>
      </c>
      <c r="C142" s="35" t="inlineStr">
        <is>
          <t>地块解锁</t>
        </is>
      </c>
      <c r="D142" s="15" t="inlineStr">
        <is>
          <t>rarity</t>
        </is>
      </c>
      <c r="E142" s="15" t="inlineStr">
        <is>
          <t>Unlock</t>
        </is>
      </c>
      <c r="F142" s="15" t="inlineStr">
        <is>
          <t>unlock_tile_upgrade</t>
        </is>
      </c>
      <c r="G142" s="15" t="inlineStr"/>
      <c r="H142" s="15" t="inlineStr">
        <is>
          <t>已解锁前置地块 upgrade</t>
        </is>
      </c>
      <c r="I142" s="15" t="inlineStr">
        <is>
          <t>金币</t>
        </is>
      </c>
      <c r="J142" s="20" t="n">
        <v>2500000</v>
      </c>
      <c r="K142" s="15" t="inlineStr">
        <is>
          <t>2.5M</t>
        </is>
      </c>
      <c r="L142" s="32" t="n">
        <v>2.5</v>
      </c>
      <c r="M142" s="15" t="n">
        <v>6</v>
      </c>
      <c r="N142" s="15" t="inlineStr">
        <is>
          <t>UNLOCK_TILE</t>
        </is>
      </c>
      <c r="O142" s="15" t="inlineStr">
        <is>
          <t>rarity</t>
        </is>
      </c>
      <c r="P142" s="15" t="inlineStr">
        <is>
          <t>UNLOCK</t>
        </is>
      </c>
      <c r="Q142" s="15" t="n">
        <v>1</v>
      </c>
      <c r="R142" s="15" t="inlineStr"/>
      <c r="S142" s="15" t="inlineStr">
        <is>
          <t>解锁 rarity 的购买与放置；当前行为：当前硬过滤rarity≥3。</t>
        </is>
      </c>
      <c r="T142" s="15" t="inlineStr">
        <is>
          <t>本轮核心</t>
        </is>
      </c>
      <c r="U142" s="15" t="b">
        <v>0</v>
      </c>
      <c r="V142" s="15" t="inlineStr">
        <is>
          <t>V3地块需先购买到库存，放置/移除不再免费创造或销毁。</t>
        </is>
      </c>
      <c r="W142" s="15" t="inlineStr">
        <is>
          <t>默认dirt/grass免费；其余解锁成本严格等于地块BasePlaceCost×0.5。</t>
        </is>
      </c>
    </row>
    <row r="143" ht="36" customHeight="1">
      <c r="A143" s="15" t="inlineStr">
        <is>
          <t>unlock_tile_spawn</t>
        </is>
      </c>
      <c r="B143" s="15" t="inlineStr">
        <is>
          <t>解锁地块·水晶矿脉</t>
        </is>
      </c>
      <c r="C143" s="35" t="inlineStr">
        <is>
          <t>地块解锁</t>
        </is>
      </c>
      <c r="D143" s="15" t="inlineStr">
        <is>
          <t>spawn</t>
        </is>
      </c>
      <c r="E143" s="15" t="inlineStr">
        <is>
          <t>Unlock</t>
        </is>
      </c>
      <c r="F143" s="15" t="inlineStr">
        <is>
          <t>unlock_tile_rarity</t>
        </is>
      </c>
      <c r="G143" s="15" t="inlineStr"/>
      <c r="H143" s="15" t="inlineStr">
        <is>
          <t>已解锁前置地块 rarity</t>
        </is>
      </c>
      <c r="I143" s="15" t="inlineStr">
        <is>
          <t>金币</t>
        </is>
      </c>
      <c r="J143" s="20" t="n">
        <v>5000000</v>
      </c>
      <c r="K143" s="15" t="inlineStr">
        <is>
          <t>5M</t>
        </is>
      </c>
      <c r="L143" s="32" t="n">
        <v>5</v>
      </c>
      <c r="M143" s="15" t="n">
        <v>6</v>
      </c>
      <c r="N143" s="15" t="inlineStr">
        <is>
          <t>UNLOCK_TILE</t>
        </is>
      </c>
      <c r="O143" s="15" t="inlineStr">
        <is>
          <t>spawn</t>
        </is>
      </c>
      <c r="P143" s="15" t="inlineStr">
        <is>
          <t>UNLOCK</t>
        </is>
      </c>
      <c r="Q143" s="15" t="n">
        <v>1</v>
      </c>
      <c r="R143" s="15" t="inlineStr"/>
      <c r="S143" s="15" t="inlineStr">
        <is>
          <t>解锁 spawn 的购买与放置；当前行为：每5秒固定生成crystal实体矿。</t>
        </is>
      </c>
      <c r="T143" s="15" t="inlineStr">
        <is>
          <t>本轮核心</t>
        </is>
      </c>
      <c r="U143" s="15" t="b">
        <v>0</v>
      </c>
      <c r="V143" s="15" t="inlineStr">
        <is>
          <t>V3地块需先购买到库存，放置/移除不再免费创造或销毁。</t>
        </is>
      </c>
      <c r="W143" s="15" t="inlineStr">
        <is>
          <t>默认dirt/grass免费；其余解锁成本严格等于地块BasePlaceCost×0.5。</t>
        </is>
      </c>
    </row>
    <row r="144" ht="36" customHeight="1">
      <c r="A144" s="15" t="inlineStr">
        <is>
          <t>gold_link_coal</t>
        </is>
      </c>
      <c r="B144" s="15" t="inlineStr">
        <is>
          <t>焦煤老矿工</t>
        </is>
      </c>
      <c r="C144" s="36" t="inlineStr">
        <is>
          <t>黄金协会</t>
        </is>
      </c>
      <c r="D144" s="15" t="inlineStr">
        <is>
          <t>gold</t>
        </is>
      </c>
      <c r="E144" s="15" t="inlineStr">
        <is>
          <t>Link-1</t>
        </is>
      </c>
      <c r="F144" s="15" t="inlineStr">
        <is>
          <t>unlock_gold,unlock_coal</t>
        </is>
      </c>
      <c r="G144" s="15" t="inlineStr"/>
      <c r="H144" s="15" t="inlineStr">
        <is>
          <t>gold_owned ≥ 1 且 coal_owned ≥ 15</t>
        </is>
      </c>
      <c r="I144" s="15" t="inlineStr">
        <is>
          <t>金币</t>
        </is>
      </c>
      <c r="J144" s="20" t="n">
        <v>3750</v>
      </c>
      <c r="K144" s="15" t="inlineStr">
        <is>
          <t>3.75K</t>
        </is>
      </c>
      <c r="L144" s="32" t="n">
        <v>3.75</v>
      </c>
      <c r="M144" s="15" t="n">
        <v>3</v>
      </c>
      <c r="N144" s="15" t="inlineStr">
        <is>
          <t>GOLD_SPECIALIST_LINK</t>
        </is>
      </c>
      <c r="O144" s="15" t="inlineStr">
        <is>
          <t>coal</t>
        </is>
      </c>
      <c r="P144" s="15" t="inlineStr">
        <is>
          <t>FORMULA</t>
        </is>
      </c>
      <c r="Q144" s="15" t="n">
        <v>0.01</v>
      </c>
      <c r="R144" s="15" t="inlineStr">
        <is>
          <t>目标倍率 = 1 + gold_owned × 1% / 1；Gold自身默认每条Link +50%（7条最多×4.5）。</t>
        </is>
      </c>
      <c r="S144" s="15" t="inlineStr">
        <is>
          <t>煤矿获得金矿数量协同；同时强化金矿自身，形成Grandma式横向连接。</t>
        </is>
      </c>
      <c r="T144" s="15" t="inlineStr">
        <is>
          <t>本轮核心</t>
        </is>
      </c>
      <c r="U144" s="15" t="b">
        <v>0</v>
      </c>
      <c r="V144" s="15" t="inlineStr">
        <is>
          <t>Gold加成只作用自动建筑CPS，不再乘实体矿售价或全局金币，防止双重计入。</t>
        </is>
      </c>
      <c r="W144" s="15" t="inlineStr">
        <is>
          <t>cost = 煤矿 BasePrice ×50 = 3.75K。</t>
        </is>
      </c>
    </row>
    <row r="145" ht="36" customHeight="1">
      <c r="A145" s="15" t="inlineStr">
        <is>
          <t>gold_link_iron</t>
        </is>
      </c>
      <c r="B145" s="15" t="inlineStr">
        <is>
          <t>铁匠淘金团</t>
        </is>
      </c>
      <c r="C145" s="36" t="inlineStr">
        <is>
          <t>黄金协会</t>
        </is>
      </c>
      <c r="D145" s="15" t="inlineStr">
        <is>
          <t>gold</t>
        </is>
      </c>
      <c r="E145" s="15" t="inlineStr">
        <is>
          <t>Link-2</t>
        </is>
      </c>
      <c r="F145" s="15" t="inlineStr">
        <is>
          <t>unlock_gold,unlock_iron</t>
        </is>
      </c>
      <c r="G145" s="15" t="inlineStr"/>
      <c r="H145" s="15" t="inlineStr">
        <is>
          <t>gold_owned ≥ 1 且 iron_owned ≥ 15</t>
        </is>
      </c>
      <c r="I145" s="15" t="inlineStr">
        <is>
          <t>金币</t>
        </is>
      </c>
      <c r="J145" s="20" t="n">
        <v>25000</v>
      </c>
      <c r="K145" s="15" t="inlineStr">
        <is>
          <t>25K</t>
        </is>
      </c>
      <c r="L145" s="32" t="n">
        <v>2.5</v>
      </c>
      <c r="M145" s="15" t="n">
        <v>4</v>
      </c>
      <c r="N145" s="15" t="inlineStr">
        <is>
          <t>GOLD_SPECIALIST_LINK</t>
        </is>
      </c>
      <c r="O145" s="15" t="inlineStr">
        <is>
          <t>iron</t>
        </is>
      </c>
      <c r="P145" s="15" t="inlineStr">
        <is>
          <t>FORMULA</t>
        </is>
      </c>
      <c r="Q145" s="15" t="n">
        <v>0.005</v>
      </c>
      <c r="R145" s="15" t="inlineStr">
        <is>
          <t>目标倍率 = 1 + gold_owned × 1% / 2；Gold自身默认每条Link +50%（7条最多×4.5）。</t>
        </is>
      </c>
      <c r="S145" s="15" t="inlineStr">
        <is>
          <t>铁矿获得金矿数量协同；同时强化金矿自身，形成Grandma式横向连接。</t>
        </is>
      </c>
      <c r="T145" s="15" t="inlineStr">
        <is>
          <t>本轮核心</t>
        </is>
      </c>
      <c r="U145" s="15" t="b">
        <v>0</v>
      </c>
      <c r="V145" s="15" t="inlineStr">
        <is>
          <t>Gold加成只作用自动建筑CPS，不再乘实体矿售价或全局金币，防止双重计入。</t>
        </is>
      </c>
      <c r="W145" s="15" t="inlineStr">
        <is>
          <t>cost = 铁矿 BasePrice ×50 = 25K。</t>
        </is>
      </c>
    </row>
    <row r="146" ht="36" customHeight="1">
      <c r="A146" s="15" t="inlineStr">
        <is>
          <t>gold_link_zinc</t>
        </is>
      </c>
      <c r="B146" s="15" t="inlineStr">
        <is>
          <t>选矿老行家</t>
        </is>
      </c>
      <c r="C146" s="36" t="inlineStr">
        <is>
          <t>黄金协会</t>
        </is>
      </c>
      <c r="D146" s="15" t="inlineStr">
        <is>
          <t>gold</t>
        </is>
      </c>
      <c r="E146" s="15" t="inlineStr">
        <is>
          <t>Link-3</t>
        </is>
      </c>
      <c r="F146" s="15" t="inlineStr">
        <is>
          <t>unlock_gold,unlock_zinc</t>
        </is>
      </c>
      <c r="G146" s="15" t="inlineStr"/>
      <c r="H146" s="15" t="inlineStr">
        <is>
          <t>gold_owned ≥ 1 且 zinc_owned ≥ 15</t>
        </is>
      </c>
      <c r="I146" s="15" t="inlineStr">
        <is>
          <t>金币</t>
        </is>
      </c>
      <c r="J146" s="20" t="n">
        <v>275000</v>
      </c>
      <c r="K146" s="15" t="inlineStr">
        <is>
          <t>275K</t>
        </is>
      </c>
      <c r="L146" s="32" t="n">
        <v>2.75</v>
      </c>
      <c r="M146" s="15" t="n">
        <v>5</v>
      </c>
      <c r="N146" s="15" t="inlineStr">
        <is>
          <t>GOLD_SPECIALIST_LINK</t>
        </is>
      </c>
      <c r="O146" s="15" t="inlineStr">
        <is>
          <t>zinc</t>
        </is>
      </c>
      <c r="P146" s="15" t="inlineStr">
        <is>
          <t>FORMULA</t>
        </is>
      </c>
      <c r="Q146" s="15" t="n">
        <v>0.003333333333333334</v>
      </c>
      <c r="R146" s="15" t="inlineStr">
        <is>
          <t>目标倍率 = 1 + gold_owned × 1% / 3；Gold自身默认每条Link +50%（7条最多×4.5）。</t>
        </is>
      </c>
      <c r="S146" s="15" t="inlineStr">
        <is>
          <t>锌矿获得金矿数量协同；同时强化金矿自身，形成Grandma式横向连接。</t>
        </is>
      </c>
      <c r="T146" s="15" t="inlineStr">
        <is>
          <t>本轮核心</t>
        </is>
      </c>
      <c r="U146" s="15" t="b">
        <v>0</v>
      </c>
      <c r="V146" s="15" t="inlineStr">
        <is>
          <t>Gold加成只作用自动建筑CPS，不再乘实体矿售价或全局金币，防止双重计入。</t>
        </is>
      </c>
      <c r="W146" s="15" t="inlineStr">
        <is>
          <t>cost = 锌矿 BasePrice ×50 = 275K。</t>
        </is>
      </c>
    </row>
    <row r="147" ht="36" customHeight="1">
      <c r="A147" s="15" t="inlineStr">
        <is>
          <t>gold_link_crystal</t>
        </is>
      </c>
      <c r="B147" s="15" t="inlineStr">
        <is>
          <t>水晶鉴定师</t>
        </is>
      </c>
      <c r="C147" s="36" t="inlineStr">
        <is>
          <t>黄金协会</t>
        </is>
      </c>
      <c r="D147" s="15" t="inlineStr">
        <is>
          <t>gold</t>
        </is>
      </c>
      <c r="E147" s="15" t="inlineStr">
        <is>
          <t>Link-5</t>
        </is>
      </c>
      <c r="F147" s="15" t="inlineStr">
        <is>
          <t>unlock_gold,unlock_crystal</t>
        </is>
      </c>
      <c r="G147" s="15" t="inlineStr"/>
      <c r="H147" s="15" t="inlineStr">
        <is>
          <t>gold_owned ≥ 1 且 crystal_owned ≥ 15</t>
        </is>
      </c>
      <c r="I147" s="15" t="inlineStr">
        <is>
          <t>金币</t>
        </is>
      </c>
      <c r="J147" s="20" t="n">
        <v>32500000</v>
      </c>
      <c r="K147" s="15" t="inlineStr">
        <is>
          <t>32.5M</t>
        </is>
      </c>
      <c r="L147" s="32" t="n">
        <v>3.25</v>
      </c>
      <c r="M147" s="15" t="n">
        <v>7</v>
      </c>
      <c r="N147" s="15" t="inlineStr">
        <is>
          <t>GOLD_SPECIALIST_LINK</t>
        </is>
      </c>
      <c r="O147" s="15" t="inlineStr">
        <is>
          <t>crystal</t>
        </is>
      </c>
      <c r="P147" s="15" t="inlineStr">
        <is>
          <t>FORMULA</t>
        </is>
      </c>
      <c r="Q147" s="15" t="n">
        <v>0.0025</v>
      </c>
      <c r="R147" s="15" t="inlineStr">
        <is>
          <t>目标倍率 = 1 + gold_owned × 1% / 4；Gold自身默认每条Link +50%（7条最多×4.5）。</t>
        </is>
      </c>
      <c r="S147" s="15" t="inlineStr">
        <is>
          <t>水晶矿获得金矿数量协同；同时强化金矿自身，形成Grandma式横向连接。</t>
        </is>
      </c>
      <c r="T147" s="15" t="inlineStr">
        <is>
          <t>本轮核心</t>
        </is>
      </c>
      <c r="U147" s="15" t="b">
        <v>0</v>
      </c>
      <c r="V147" s="15" t="inlineStr">
        <is>
          <t>Gold加成只作用自动建筑CPS，不再乘实体矿售价或全局金币，防止双重计入。</t>
        </is>
      </c>
      <c r="W147" s="15" t="inlineStr">
        <is>
          <t>cost = 水晶矿 BasePrice ×50 = 32.5M。</t>
        </is>
      </c>
    </row>
    <row r="148" ht="36" customHeight="1">
      <c r="A148" s="15" t="inlineStr">
        <is>
          <t>gold_link_obsidian</t>
        </is>
      </c>
      <c r="B148" s="15" t="inlineStr">
        <is>
          <t>黑曜守库人</t>
        </is>
      </c>
      <c r="C148" s="36" t="inlineStr">
        <is>
          <t>黄金协会</t>
        </is>
      </c>
      <c r="D148" s="15" t="inlineStr">
        <is>
          <t>gold</t>
        </is>
      </c>
      <c r="E148" s="15" t="inlineStr">
        <is>
          <t>Link-6</t>
        </is>
      </c>
      <c r="F148" s="15" t="inlineStr">
        <is>
          <t>unlock_gold,unlock_obsidian</t>
        </is>
      </c>
      <c r="G148" s="15" t="inlineStr"/>
      <c r="H148" s="15" t="inlineStr">
        <is>
          <t>gold_owned ≥ 1 且 obsidian_owned ≥ 15</t>
        </is>
      </c>
      <c r="I148" s="15" t="inlineStr">
        <is>
          <t>金币</t>
        </is>
      </c>
      <c r="J148" s="20" t="n">
        <v>350000000</v>
      </c>
      <c r="K148" s="15" t="inlineStr">
        <is>
          <t>350M</t>
        </is>
      </c>
      <c r="L148" s="32" t="n">
        <v>3.5</v>
      </c>
      <c r="M148" s="15" t="n">
        <v>8</v>
      </c>
      <c r="N148" s="15" t="inlineStr">
        <is>
          <t>GOLD_SPECIALIST_LINK</t>
        </is>
      </c>
      <c r="O148" s="15" t="inlineStr">
        <is>
          <t>obsidian</t>
        </is>
      </c>
      <c r="P148" s="15" t="inlineStr">
        <is>
          <t>FORMULA</t>
        </is>
      </c>
      <c r="Q148" s="15" t="n">
        <v>0.002</v>
      </c>
      <c r="R148" s="15" t="inlineStr">
        <is>
          <t>目标倍率 = 1 + gold_owned × 1% / 5；Gold自身默认每条Link +50%（7条最多×4.5）。</t>
        </is>
      </c>
      <c r="S148" s="15" t="inlineStr">
        <is>
          <t>黑曜石获得金矿数量协同；同时强化金矿自身，形成Grandma式横向连接。</t>
        </is>
      </c>
      <c r="T148" s="15" t="inlineStr">
        <is>
          <t>本轮核心</t>
        </is>
      </c>
      <c r="U148" s="15" t="b">
        <v>0</v>
      </c>
      <c r="V148" s="15" t="inlineStr">
        <is>
          <t>Gold加成只作用自动建筑CPS，不再乘实体矿售价或全局金币，防止双重计入。</t>
        </is>
      </c>
      <c r="W148" s="15" t="inlineStr">
        <is>
          <t>cost = 黑曜石 BasePrice ×50 = 350M。</t>
        </is>
      </c>
    </row>
    <row r="149" ht="36" customHeight="1">
      <c r="A149" s="15" t="inlineStr">
        <is>
          <t>gold_link_diamond</t>
        </is>
      </c>
      <c r="B149" s="15" t="inlineStr">
        <is>
          <t>钻石切割师</t>
        </is>
      </c>
      <c r="C149" s="36" t="inlineStr">
        <is>
          <t>黄金协会</t>
        </is>
      </c>
      <c r="D149" s="15" t="inlineStr">
        <is>
          <t>gold</t>
        </is>
      </c>
      <c r="E149" s="15" t="inlineStr">
        <is>
          <t>Link-7</t>
        </is>
      </c>
      <c r="F149" s="15" t="inlineStr">
        <is>
          <t>unlock_gold,unlock_diamond</t>
        </is>
      </c>
      <c r="G149" s="15" t="inlineStr"/>
      <c r="H149" s="15" t="inlineStr">
        <is>
          <t>gold_owned ≥ 1 且 diamond_owned ≥ 15</t>
        </is>
      </c>
      <c r="I149" s="15" t="inlineStr">
        <is>
          <t>金币</t>
        </is>
      </c>
      <c r="J149" s="20" t="n">
        <v>5000000000</v>
      </c>
      <c r="K149" s="15" t="inlineStr">
        <is>
          <t>5B</t>
        </is>
      </c>
      <c r="L149" s="32" t="n">
        <v>5</v>
      </c>
      <c r="M149" s="15" t="n">
        <v>9</v>
      </c>
      <c r="N149" s="15" t="inlineStr">
        <is>
          <t>GOLD_SPECIALIST_LINK</t>
        </is>
      </c>
      <c r="O149" s="15" t="inlineStr">
        <is>
          <t>diamond</t>
        </is>
      </c>
      <c r="P149" s="15" t="inlineStr">
        <is>
          <t>FORMULA</t>
        </is>
      </c>
      <c r="Q149" s="15" t="n">
        <v>0.001666666666666667</v>
      </c>
      <c r="R149" s="15" t="inlineStr">
        <is>
          <t>目标倍率 = 1 + gold_owned × 1% / 6；Gold自身默认每条Link +50%（7条最多×4.5）。</t>
        </is>
      </c>
      <c r="S149" s="15" t="inlineStr">
        <is>
          <t>钻石矿获得金矿数量协同；同时强化金矿自身，形成Grandma式横向连接。</t>
        </is>
      </c>
      <c r="T149" s="15" t="inlineStr">
        <is>
          <t>本轮核心</t>
        </is>
      </c>
      <c r="U149" s="15" t="b">
        <v>0</v>
      </c>
      <c r="V149" s="15" t="inlineStr">
        <is>
          <t>Gold加成只作用自动建筑CPS，不再乘实体矿售价或全局金币，防止双重计入。</t>
        </is>
      </c>
      <c r="W149" s="15" t="inlineStr">
        <is>
          <t>cost = 钻石矿 BasePrice ×50 = 5B。</t>
        </is>
      </c>
    </row>
    <row r="150" ht="36" customHeight="1">
      <c r="A150" s="15" t="inlineStr">
        <is>
          <t>gold_link_cat</t>
        </is>
      </c>
      <c r="B150" s="15" t="inlineStr">
        <is>
          <t>猫矿饲养员</t>
        </is>
      </c>
      <c r="C150" s="36" t="inlineStr">
        <is>
          <t>黄金协会</t>
        </is>
      </c>
      <c r="D150" s="15" t="inlineStr">
        <is>
          <t>gold</t>
        </is>
      </c>
      <c r="E150" s="15" t="inlineStr">
        <is>
          <t>Link-8</t>
        </is>
      </c>
      <c r="F150" s="15" t="inlineStr">
        <is>
          <t>unlock_gold,unlock_cat</t>
        </is>
      </c>
      <c r="G150" s="15" t="inlineStr"/>
      <c r="H150" s="15" t="inlineStr">
        <is>
          <t>gold_owned ≥ 1 且 cat_owned ≥ 15</t>
        </is>
      </c>
      <c r="I150" s="15" t="inlineStr">
        <is>
          <t>金币</t>
        </is>
      </c>
      <c r="J150" s="20" t="n">
        <v>82500000000</v>
      </c>
      <c r="K150" s="15" t="inlineStr">
        <is>
          <t>82.5B</t>
        </is>
      </c>
      <c r="L150" s="32" t="n">
        <v>8.25</v>
      </c>
      <c r="M150" s="15" t="n">
        <v>10</v>
      </c>
      <c r="N150" s="15" t="inlineStr">
        <is>
          <t>GOLD_SPECIALIST_LINK</t>
        </is>
      </c>
      <c r="O150" s="15" t="inlineStr">
        <is>
          <t>cat</t>
        </is>
      </c>
      <c r="P150" s="15" t="inlineStr">
        <is>
          <t>FORMULA</t>
        </is>
      </c>
      <c r="Q150" s="15" t="n">
        <v>0.001428571428571429</v>
      </c>
      <c r="R150" s="15" t="inlineStr">
        <is>
          <t>目标倍率 = 1 + gold_owned × 1% / 7；Gold自身默认每条Link +50%（7条最多×4.5）。</t>
        </is>
      </c>
      <c r="S150" s="15" t="inlineStr">
        <is>
          <t>猫矿获得金矿数量协同；同时强化金矿自身，形成Grandma式横向连接。</t>
        </is>
      </c>
      <c r="T150" s="15" t="inlineStr">
        <is>
          <t>本轮核心</t>
        </is>
      </c>
      <c r="U150" s="15" t="b">
        <v>0</v>
      </c>
      <c r="V150" s="15" t="inlineStr">
        <is>
          <t>Gold加成只作用自动建筑CPS，不再乘实体矿售价或全局金币，防止双重计入。</t>
        </is>
      </c>
      <c r="W150" s="15" t="inlineStr">
        <is>
          <t>cost = 猫矿 BasePrice ×50 = 82.5B。</t>
        </is>
      </c>
    </row>
    <row r="151" ht="36" customHeight="1">
      <c r="A151" s="15" t="inlineStr">
        <is>
          <t>gold_assay_network</t>
        </is>
      </c>
      <c r="B151" s="15" t="inlineStr">
        <is>
          <t>黄金联合鉴定网</t>
        </is>
      </c>
      <c r="C151" s="36" t="inlineStr">
        <is>
          <t>黄金协会</t>
        </is>
      </c>
      <c r="D151" s="15" t="inlineStr">
        <is>
          <t>gold</t>
        </is>
      </c>
      <c r="E151" s="15" t="inlineStr">
        <is>
          <t>Research-1</t>
        </is>
      </c>
      <c r="F151" s="15" t="inlineStr">
        <is>
          <t>unlock_gold</t>
        </is>
      </c>
      <c r="G151" s="15" t="inlineStr"/>
      <c r="H151" s="15" t="inlineStr">
        <is>
          <t>gold_link_count ≥ 3 且 gold_owned ≥ 25</t>
        </is>
      </c>
      <c r="I151" s="15" t="inlineStr">
        <is>
          <t>金币</t>
        </is>
      </c>
      <c r="J151" s="20" t="n">
        <v>5000000</v>
      </c>
      <c r="K151" s="15" t="inlineStr">
        <is>
          <t>5M</t>
        </is>
      </c>
      <c r="L151" s="32" t="n">
        <v>5</v>
      </c>
      <c r="M151" s="15" t="n">
        <v>6</v>
      </c>
      <c r="N151" s="15" t="inlineStr">
        <is>
          <t>GOLD_LINK_POWER</t>
        </is>
      </c>
      <c r="O151" s="15" t="inlineStr">
        <is>
          <t>gold_links</t>
        </is>
      </c>
      <c r="P151" s="15" t="inlineStr">
        <is>
          <t>MULTIPLY</t>
        </is>
      </c>
      <c r="Q151" s="15" t="n">
        <v>1.25</v>
      </c>
      <c r="R151" s="15" t="inlineStr"/>
      <c r="S151" s="15" t="inlineStr">
        <is>
          <t>所有Gold Link给予目标矿物的横向加成系数 ×1.25。</t>
        </is>
      </c>
      <c r="T151" s="15" t="inlineStr">
        <is>
          <t>升华扩展 I</t>
        </is>
      </c>
      <c r="U151" s="15" t="b">
        <v>0</v>
      </c>
      <c r="V151" s="15" t="inlineStr">
        <is>
          <t>统计已购买Link集合；不要逐条重复写倍率。</t>
        </is>
      </c>
      <c r="W151" s="15" t="inlineStr">
        <is>
          <t>人工里程碑价格；Balance中按购买阶段复核。</t>
        </is>
      </c>
    </row>
    <row r="152" ht="36" customHeight="1">
      <c r="A152" s="15" t="inlineStr">
        <is>
          <t>gold_council</t>
        </is>
      </c>
      <c r="B152" s="15" t="inlineStr">
        <is>
          <t>黄金矿业议会</t>
        </is>
      </c>
      <c r="C152" s="36" t="inlineStr">
        <is>
          <t>黄金协会</t>
        </is>
      </c>
      <c r="D152" s="15" t="inlineStr">
        <is>
          <t>gold</t>
        </is>
      </c>
      <c r="E152" s="15" t="inlineStr">
        <is>
          <t>Research-2</t>
        </is>
      </c>
      <c r="F152" s="15" t="inlineStr">
        <is>
          <t>gold_link_coal,gold_link_iron,gold_link_zinc,gold_link_crystal,gold_link_obsidian,gold_link_diamond,gold_link_cat</t>
        </is>
      </c>
      <c r="G152" s="15" t="inlineStr">
        <is>
          <t>meta_gold_research</t>
        </is>
      </c>
      <c r="H152" s="15" t="inlineStr">
        <is>
          <t>7条Gold Link全部购买且gold_owned ≥ 50</t>
        </is>
      </c>
      <c r="I152" s="15" t="inlineStr">
        <is>
          <t>金币</t>
        </is>
      </c>
      <c r="J152" s="20" t="n">
        <v>1000000000</v>
      </c>
      <c r="K152" s="15" t="inlineStr">
        <is>
          <t>1B</t>
        </is>
      </c>
      <c r="L152" s="32" t="n">
        <v>1</v>
      </c>
      <c r="M152" s="15" t="n">
        <v>9</v>
      </c>
      <c r="N152" s="15" t="inlineStr">
        <is>
          <t>BUILDING_CPS_MULT</t>
        </is>
      </c>
      <c r="O152" s="15" t="inlineStr">
        <is>
          <t>gold</t>
        </is>
      </c>
      <c r="P152" s="15" t="inlineStr">
        <is>
          <t>MULTIPLY</t>
        </is>
      </c>
      <c r="Q152" s="15" t="n">
        <v>4</v>
      </c>
      <c r="R152" s="15" t="inlineStr"/>
      <c r="S152" s="15" t="inlineStr">
        <is>
          <t>金矿自动建筑产量 ×4，并开启黄金研究终点。</t>
        </is>
      </c>
      <c r="T152" s="15" t="inlineStr">
        <is>
          <t>升华扩展 I</t>
        </is>
      </c>
      <c r="U152" s="15" t="b">
        <v>0</v>
      </c>
      <c r="V152" s="15" t="inlineStr">
        <is>
          <t>独立于15层常规×2升级，属于Gold专属乘区。</t>
        </is>
      </c>
      <c r="W152" s="15" t="inlineStr">
        <is>
          <t>Grandma Research的压缩版。</t>
        </is>
      </c>
    </row>
    <row r="153" ht="36" customHeight="1">
      <c r="A153" s="15" t="inlineStr">
        <is>
          <t>gold_collective_vein</t>
        </is>
      </c>
      <c r="B153" s="15" t="inlineStr">
        <is>
          <t>集体黄金矿脉</t>
        </is>
      </c>
      <c r="C153" s="36" t="inlineStr">
        <is>
          <t>黄金协会</t>
        </is>
      </c>
      <c r="D153" s="15" t="inlineStr">
        <is>
          <t>gold</t>
        </is>
      </c>
      <c r="E153" s="15" t="inlineStr">
        <is>
          <t>Research-3</t>
        </is>
      </c>
      <c r="F153" s="15" t="inlineStr">
        <is>
          <t>gold_council</t>
        </is>
      </c>
      <c r="G153" s="15" t="inlineStr">
        <is>
          <t>meta_gold_research</t>
        </is>
      </c>
      <c r="H153" s="15" t="inlineStr">
        <is>
          <t>gold_owned ≥ 100</t>
        </is>
      </c>
      <c r="I153" s="15" t="inlineStr">
        <is>
          <t>金币</t>
        </is>
      </c>
      <c r="J153" s="20" t="n">
        <v>100000000000</v>
      </c>
      <c r="K153" s="15" t="inlineStr">
        <is>
          <t>100B</t>
        </is>
      </c>
      <c r="L153" s="32" t="n">
        <v>1</v>
      </c>
      <c r="M153" s="15" t="n">
        <v>11</v>
      </c>
      <c r="N153" s="15" t="inlineStr">
        <is>
          <t>GOLD_BASE_CPS_PER_GOLD</t>
        </is>
      </c>
      <c r="O153" s="15" t="inlineStr">
        <is>
          <t>gold</t>
        </is>
      </c>
      <c r="P153" s="15" t="inlineStr">
        <is>
          <t>ADD_BASE</t>
        </is>
      </c>
      <c r="Q153" s="15" t="n">
        <v>0.02</v>
      </c>
      <c r="R153" s="15" t="inlineStr">
        <is>
          <t>每座Gold的基础CPS额外增加 0.02 × gold_owned；该额外基础值进入常规升级之前。</t>
        </is>
      </c>
      <c r="S153" s="15" t="inlineStr">
        <is>
          <t>金矿数量形成二次增长，但此效果建议设置Gold基础产出×5的封顶。</t>
        </is>
      </c>
      <c r="T153" s="15" t="inlineStr">
        <is>
          <t>大数阶段</t>
        </is>
      </c>
      <c r="U153" s="15" t="b">
        <v>0</v>
      </c>
      <c r="V153" s="15" t="inlineStr">
        <is>
          <t>需要显式上限，避免二次项与15层×2共同失控。</t>
        </is>
      </c>
      <c r="W153" s="15" t="inlineStr">
        <is>
          <t>参考Grandma的One mind结构并加入上限。</t>
        </is>
      </c>
    </row>
    <row r="154" ht="36" customHeight="1">
      <c r="A154" s="15" t="inlineStr">
        <is>
          <t>synergy_i_coal_diamond</t>
        </is>
      </c>
      <c r="B154" s="15" t="inlineStr">
        <is>
          <t>协同I·煤矿×钻石矿</t>
        </is>
      </c>
      <c r="C154" s="37" t="inlineStr">
        <is>
          <t>矿物协同</t>
        </is>
      </c>
      <c r="D154" s="15" t="inlineStr">
        <is>
          <t>coal&lt;-&gt;diamond</t>
        </is>
      </c>
      <c r="E154" s="15" t="inlineStr">
        <is>
          <t>I</t>
        </is>
      </c>
      <c r="F154" s="15" t="inlineStr">
        <is>
          <t>unlock_coal,unlock_diamond</t>
        </is>
      </c>
      <c r="G154" s="15" t="inlineStr">
        <is>
          <t>meta_synergy_vol1</t>
        </is>
      </c>
      <c r="H154" s="15" t="inlineStr">
        <is>
          <t>coal_owned ≥ 15 且 diamond_owned ≥ 15</t>
        </is>
      </c>
      <c r="I154" s="15" t="inlineStr">
        <is>
          <t>金币</t>
        </is>
      </c>
      <c r="J154" s="20" t="n">
        <v>21000000</v>
      </c>
      <c r="K154" s="15" t="inlineStr">
        <is>
          <t>21M</t>
        </is>
      </c>
      <c r="L154" s="32" t="n">
        <v>2.1</v>
      </c>
      <c r="M154" s="15" t="n">
        <v>7</v>
      </c>
      <c r="N154" s="15" t="inlineStr">
        <is>
          <t>BUILDING_PAIR_SYNERGY</t>
        </is>
      </c>
      <c r="O154" s="15" t="inlineStr">
        <is>
          <t>coal,diamond</t>
        </is>
      </c>
      <c r="P154" s="15" t="inlineStr">
        <is>
          <t>FORMULA</t>
        </is>
      </c>
      <c r="Q154" s="15" t="inlineStr">
        <is>
          <t>5% / 0.1%</t>
        </is>
      </c>
      <c r="R154" s="15" t="inlineStr">
        <is>
          <t>煤矿倍率=1+5%×diamond_owned；钻石矿倍率=1+0.1%×coal_owned。</t>
        </is>
      </c>
      <c r="S154" s="15" t="inlineStr">
        <is>
          <t>高阶矿显著复活低阶矿；低阶矿只轻推高阶矿。</t>
        </is>
      </c>
      <c r="T154" s="15" t="inlineStr">
        <is>
          <t>升华扩展 I</t>
        </is>
      </c>
      <c r="U154" s="15" t="b">
        <v>0</v>
      </c>
      <c r="V154" s="15" t="inlineStr">
        <is>
          <t>同一协同节点只计算一次；不要把5%与0.1%方向写反。</t>
        </is>
      </c>
      <c r="W154" s="15" t="inlineStr">
        <is>
          <t>按解锁时ΔCPS×600秒定价；估算ΔCPS=35.1K，成本=21M。</t>
        </is>
      </c>
    </row>
    <row r="155" ht="36" customHeight="1">
      <c r="A155" s="15" t="inlineStr">
        <is>
          <t>synergy_i_iron_obsidian</t>
        </is>
      </c>
      <c r="B155" s="15" t="inlineStr">
        <is>
          <t>协同I·铁矿×黑曜石</t>
        </is>
      </c>
      <c r="C155" s="37" t="inlineStr">
        <is>
          <t>矿物协同</t>
        </is>
      </c>
      <c r="D155" s="15" t="inlineStr">
        <is>
          <t>iron&lt;-&gt;obsidian</t>
        </is>
      </c>
      <c r="E155" s="15" t="inlineStr">
        <is>
          <t>I</t>
        </is>
      </c>
      <c r="F155" s="15" t="inlineStr">
        <is>
          <t>unlock_iron,unlock_obsidian</t>
        </is>
      </c>
      <c r="G155" s="15" t="inlineStr">
        <is>
          <t>meta_synergy_vol1</t>
        </is>
      </c>
      <c r="H155" s="15" t="inlineStr">
        <is>
          <t>iron_owned ≥ 15 且 obsidian_owned ≥ 15</t>
        </is>
      </c>
      <c r="I155" s="15" t="inlineStr">
        <is>
          <t>金币</t>
        </is>
      </c>
      <c r="J155" s="20" t="n">
        <v>3900000</v>
      </c>
      <c r="K155" s="15" t="inlineStr">
        <is>
          <t>3.9M</t>
        </is>
      </c>
      <c r="L155" s="32" t="n">
        <v>3.9</v>
      </c>
      <c r="M155" s="15" t="n">
        <v>6</v>
      </c>
      <c r="N155" s="15" t="inlineStr">
        <is>
          <t>BUILDING_PAIR_SYNERGY</t>
        </is>
      </c>
      <c r="O155" s="15" t="inlineStr">
        <is>
          <t>iron,obsidian</t>
        </is>
      </c>
      <c r="P155" s="15" t="inlineStr">
        <is>
          <t>FORMULA</t>
        </is>
      </c>
      <c r="Q155" s="15" t="inlineStr">
        <is>
          <t>5% / 0.1%</t>
        </is>
      </c>
      <c r="R155" s="15" t="inlineStr">
        <is>
          <t>铁矿倍率=1+5%×obsidian_owned；黑曜石倍率=1+0.1%×iron_owned。</t>
        </is>
      </c>
      <c r="S155" s="15" t="inlineStr">
        <is>
          <t>高阶矿显著复活低阶矿；低阶矿只轻推高阶矿。</t>
        </is>
      </c>
      <c r="T155" s="15" t="inlineStr">
        <is>
          <t>升华扩展 I</t>
        </is>
      </c>
      <c r="U155" s="15" t="b">
        <v>0</v>
      </c>
      <c r="V155" s="15" t="inlineStr">
        <is>
          <t>同一协同节点只计算一次；不要把5%与0.1%方向写反。</t>
        </is>
      </c>
      <c r="W155" s="15" t="inlineStr">
        <is>
          <t>按解锁时ΔCPS×600秒定价；估算ΔCPS=6.53K，成本=3.9M。</t>
        </is>
      </c>
    </row>
    <row r="156" ht="36" customHeight="1">
      <c r="A156" s="15" t="inlineStr">
        <is>
          <t>synergy_i_zinc_crystal</t>
        </is>
      </c>
      <c r="B156" s="15" t="inlineStr">
        <is>
          <t>协同I·锌矿×水晶矿</t>
        </is>
      </c>
      <c r="C156" s="37" t="inlineStr">
        <is>
          <t>矿物协同</t>
        </is>
      </c>
      <c r="D156" s="15" t="inlineStr">
        <is>
          <t>zinc&lt;-&gt;crystal</t>
        </is>
      </c>
      <c r="E156" s="15" t="inlineStr">
        <is>
          <t>I</t>
        </is>
      </c>
      <c r="F156" s="15" t="inlineStr">
        <is>
          <t>unlock_zinc,unlock_crystal</t>
        </is>
      </c>
      <c r="G156" s="15" t="inlineStr">
        <is>
          <t>meta_synergy_vol1</t>
        </is>
      </c>
      <c r="H156" s="15" t="inlineStr">
        <is>
          <t>zinc_owned ≥ 15 且 crystal_owned ≥ 15</t>
        </is>
      </c>
      <c r="I156" s="15" t="inlineStr">
        <is>
          <t>金币</t>
        </is>
      </c>
      <c r="J156" s="20" t="n">
        <v>1800000</v>
      </c>
      <c r="K156" s="15" t="inlineStr">
        <is>
          <t>1.8M</t>
        </is>
      </c>
      <c r="L156" s="32" t="n">
        <v>1.8</v>
      </c>
      <c r="M156" s="15" t="n">
        <v>6</v>
      </c>
      <c r="N156" s="15" t="inlineStr">
        <is>
          <t>BUILDING_PAIR_SYNERGY</t>
        </is>
      </c>
      <c r="O156" s="15" t="inlineStr">
        <is>
          <t>zinc,crystal</t>
        </is>
      </c>
      <c r="P156" s="15" t="inlineStr">
        <is>
          <t>FORMULA</t>
        </is>
      </c>
      <c r="Q156" s="15" t="inlineStr">
        <is>
          <t>5% / 0.1%</t>
        </is>
      </c>
      <c r="R156" s="15" t="inlineStr">
        <is>
          <t>锌矿倍率=1+5%×crystal_owned；水晶矿倍率=1+0.1%×zinc_owned。</t>
        </is>
      </c>
      <c r="S156" s="15" t="inlineStr">
        <is>
          <t>高阶矿显著复活低阶矿；低阶矿只轻推高阶矿。</t>
        </is>
      </c>
      <c r="T156" s="15" t="inlineStr">
        <is>
          <t>升华扩展 I</t>
        </is>
      </c>
      <c r="U156" s="15" t="b">
        <v>0</v>
      </c>
      <c r="V156" s="15" t="inlineStr">
        <is>
          <t>同一协同节点只计算一次；不要把5%与0.1%方向写反。</t>
        </is>
      </c>
      <c r="W156" s="15" t="inlineStr">
        <is>
          <t>按解锁时ΔCPS×600秒定价；估算ΔCPS=2.97K，成本=1.8M。</t>
        </is>
      </c>
    </row>
    <row r="157" ht="36" customHeight="1">
      <c r="A157" s="15" t="inlineStr">
        <is>
          <t>synergy_i_gold_cat</t>
        </is>
      </c>
      <c r="B157" s="15" t="inlineStr">
        <is>
          <t>协同I·金矿×猫矿</t>
        </is>
      </c>
      <c r="C157" s="37" t="inlineStr">
        <is>
          <t>矿物协同</t>
        </is>
      </c>
      <c r="D157" s="15" t="inlineStr">
        <is>
          <t>gold&lt;-&gt;cat</t>
        </is>
      </c>
      <c r="E157" s="15" t="inlineStr">
        <is>
          <t>I</t>
        </is>
      </c>
      <c r="F157" s="15" t="inlineStr">
        <is>
          <t>unlock_gold,unlock_cat</t>
        </is>
      </c>
      <c r="G157" s="15" t="inlineStr">
        <is>
          <t>meta_synergy_vol1</t>
        </is>
      </c>
      <c r="H157" s="15" t="inlineStr">
        <is>
          <t>gold_owned ≥ 15 且 cat_owned ≥ 15</t>
        </is>
      </c>
      <c r="I157" s="15" t="inlineStr">
        <is>
          <t>金币</t>
        </is>
      </c>
      <c r="J157" s="20" t="n">
        <v>130000000</v>
      </c>
      <c r="K157" s="15" t="inlineStr">
        <is>
          <t>130M</t>
        </is>
      </c>
      <c r="L157" s="32" t="n">
        <v>1.3</v>
      </c>
      <c r="M157" s="15" t="n">
        <v>8</v>
      </c>
      <c r="N157" s="15" t="inlineStr">
        <is>
          <t>BUILDING_PAIR_SYNERGY</t>
        </is>
      </c>
      <c r="O157" s="15" t="inlineStr">
        <is>
          <t>gold,cat</t>
        </is>
      </c>
      <c r="P157" s="15" t="inlineStr">
        <is>
          <t>FORMULA</t>
        </is>
      </c>
      <c r="Q157" s="15" t="inlineStr">
        <is>
          <t>5% / 0.1%</t>
        </is>
      </c>
      <c r="R157" s="15" t="inlineStr">
        <is>
          <t>金矿倍率=1+5%×cat_owned；猫矿倍率=1+0.1%×gold_owned。</t>
        </is>
      </c>
      <c r="S157" s="15" t="inlineStr">
        <is>
          <t>高阶矿显著复活低阶矿；低阶矿只轻推高阶矿。</t>
        </is>
      </c>
      <c r="T157" s="15" t="inlineStr">
        <is>
          <t>升华扩展 I</t>
        </is>
      </c>
      <c r="U157" s="15" t="b">
        <v>0</v>
      </c>
      <c r="V157" s="15" t="inlineStr">
        <is>
          <t>同一协同节点只计算一次；不要把5%与0.1%方向写反。</t>
        </is>
      </c>
      <c r="W157" s="15" t="inlineStr">
        <is>
          <t>按解锁时ΔCPS×600秒定价；估算ΔCPS=209K，成本=130M。</t>
        </is>
      </c>
    </row>
    <row r="158" ht="36" customHeight="1">
      <c r="A158" s="15" t="inlineStr">
        <is>
          <t>synergy_ii_coal_obsidian</t>
        </is>
      </c>
      <c r="B158" s="15" t="inlineStr">
        <is>
          <t>协同II·煤矿×黑曜石</t>
        </is>
      </c>
      <c r="C158" s="37" t="inlineStr">
        <is>
          <t>矿物协同</t>
        </is>
      </c>
      <c r="D158" s="15" t="inlineStr">
        <is>
          <t>coal&lt;-&gt;obsidian</t>
        </is>
      </c>
      <c r="E158" s="15" t="inlineStr">
        <is>
          <t>II</t>
        </is>
      </c>
      <c r="F158" s="15" t="inlineStr">
        <is>
          <t>unlock_coal,unlock_obsidian</t>
        </is>
      </c>
      <c r="G158" s="15" t="inlineStr">
        <is>
          <t>meta_synergy_vol2</t>
        </is>
      </c>
      <c r="H158" s="15" t="inlineStr">
        <is>
          <t>coal_owned ≥ 75 且 obsidian_owned ≥ 75</t>
        </is>
      </c>
      <c r="I158" s="15" t="inlineStr">
        <is>
          <t>金币</t>
        </is>
      </c>
      <c r="J158" s="20" t="n">
        <v>570000000</v>
      </c>
      <c r="K158" s="15" t="inlineStr">
        <is>
          <t>570M</t>
        </is>
      </c>
      <c r="L158" s="32" t="n">
        <v>5.7</v>
      </c>
      <c r="M158" s="15" t="n">
        <v>8</v>
      </c>
      <c r="N158" s="15" t="inlineStr">
        <is>
          <t>BUILDING_PAIR_SYNERGY</t>
        </is>
      </c>
      <c r="O158" s="15" t="inlineStr">
        <is>
          <t>coal,obsidian</t>
        </is>
      </c>
      <c r="P158" s="15" t="inlineStr">
        <is>
          <t>FORMULA</t>
        </is>
      </c>
      <c r="Q158" s="15" t="inlineStr">
        <is>
          <t>5% / 0.1%</t>
        </is>
      </c>
      <c r="R158" s="15" t="inlineStr">
        <is>
          <t>煤矿倍率=1+5%×obsidian_owned；黑曜石倍率=1+0.1%×coal_owned。</t>
        </is>
      </c>
      <c r="S158" s="15" t="inlineStr">
        <is>
          <t>高阶矿显著复活低阶矿；低阶矿只轻推高阶矿。</t>
        </is>
      </c>
      <c r="T158" s="15" t="inlineStr">
        <is>
          <t>大数阶段</t>
        </is>
      </c>
      <c r="U158" s="15" t="b">
        <v>0</v>
      </c>
      <c r="V158" s="15" t="inlineStr">
        <is>
          <t>同一协同节点只计算一次；不要把5%与0.1%方向写反。</t>
        </is>
      </c>
      <c r="W158" s="15" t="inlineStr">
        <is>
          <t>按解锁时ΔCPS×900秒定价；估算ΔCPS=632K，成本=570M。</t>
        </is>
      </c>
    </row>
    <row r="159" ht="36" customHeight="1">
      <c r="A159" s="15" t="inlineStr">
        <is>
          <t>synergy_ii_iron_diamond</t>
        </is>
      </c>
      <c r="B159" s="15" t="inlineStr">
        <is>
          <t>协同II·铁矿×钻石矿</t>
        </is>
      </c>
      <c r="C159" s="37" t="inlineStr">
        <is>
          <t>矿物协同</t>
        </is>
      </c>
      <c r="D159" s="15" t="inlineStr">
        <is>
          <t>iron&lt;-&gt;diamond</t>
        </is>
      </c>
      <c r="E159" s="15" t="inlineStr">
        <is>
          <t>II</t>
        </is>
      </c>
      <c r="F159" s="15" t="inlineStr">
        <is>
          <t>unlock_iron,unlock_diamond</t>
        </is>
      </c>
      <c r="G159" s="15" t="inlineStr">
        <is>
          <t>meta_synergy_vol2</t>
        </is>
      </c>
      <c r="H159" s="15" t="inlineStr">
        <is>
          <t>iron_owned ≥ 75 且 diamond_owned ≥ 75</t>
        </is>
      </c>
      <c r="I159" s="15" t="inlineStr">
        <is>
          <t>金币</t>
        </is>
      </c>
      <c r="J159" s="20" t="n">
        <v>3200000000</v>
      </c>
      <c r="K159" s="15" t="inlineStr">
        <is>
          <t>3.2B</t>
        </is>
      </c>
      <c r="L159" s="32" t="n">
        <v>3.2</v>
      </c>
      <c r="M159" s="15" t="n">
        <v>9</v>
      </c>
      <c r="N159" s="15" t="inlineStr">
        <is>
          <t>BUILDING_PAIR_SYNERGY</t>
        </is>
      </c>
      <c r="O159" s="15" t="inlineStr">
        <is>
          <t>iron,diamond</t>
        </is>
      </c>
      <c r="P159" s="15" t="inlineStr">
        <is>
          <t>FORMULA</t>
        </is>
      </c>
      <c r="Q159" s="15" t="inlineStr">
        <is>
          <t>5% / 0.1%</t>
        </is>
      </c>
      <c r="R159" s="15" t="inlineStr">
        <is>
          <t>铁矿倍率=1+5%×diamond_owned；钻石矿倍率=1+0.1%×iron_owned。</t>
        </is>
      </c>
      <c r="S159" s="15" t="inlineStr">
        <is>
          <t>高阶矿显著复活低阶矿；低阶矿只轻推高阶矿。</t>
        </is>
      </c>
      <c r="T159" s="15" t="inlineStr">
        <is>
          <t>大数阶段</t>
        </is>
      </c>
      <c r="U159" s="15" t="b">
        <v>0</v>
      </c>
      <c r="V159" s="15" t="inlineStr">
        <is>
          <t>同一协同节点只计算一次；不要把5%与0.1%方向写反。</t>
        </is>
      </c>
      <c r="W159" s="15" t="inlineStr">
        <is>
          <t>按解锁时ΔCPS×900秒定价；估算ΔCPS=3.53M，成本=3.2B。</t>
        </is>
      </c>
    </row>
    <row r="160" ht="36" customHeight="1">
      <c r="A160" s="15" t="inlineStr">
        <is>
          <t>synergy_ii_zinc_cat</t>
        </is>
      </c>
      <c r="B160" s="15" t="inlineStr">
        <is>
          <t>协同II·锌矿×猫矿</t>
        </is>
      </c>
      <c r="C160" s="37" t="inlineStr">
        <is>
          <t>矿物协同</t>
        </is>
      </c>
      <c r="D160" s="15" t="inlineStr">
        <is>
          <t>zinc&lt;-&gt;cat</t>
        </is>
      </c>
      <c r="E160" s="15" t="inlineStr">
        <is>
          <t>II</t>
        </is>
      </c>
      <c r="F160" s="15" t="inlineStr">
        <is>
          <t>unlock_zinc,unlock_cat</t>
        </is>
      </c>
      <c r="G160" s="15" t="inlineStr">
        <is>
          <t>meta_synergy_vol2</t>
        </is>
      </c>
      <c r="H160" s="15" t="inlineStr">
        <is>
          <t>zinc_owned ≥ 75 且 cat_owned ≥ 75</t>
        </is>
      </c>
      <c r="I160" s="15" t="inlineStr">
        <is>
          <t>金币</t>
        </is>
      </c>
      <c r="J160" s="20" t="n">
        <v>18000000000</v>
      </c>
      <c r="K160" s="15" t="inlineStr">
        <is>
          <t>18B</t>
        </is>
      </c>
      <c r="L160" s="32" t="n">
        <v>1.8</v>
      </c>
      <c r="M160" s="15" t="n">
        <v>10</v>
      </c>
      <c r="N160" s="15" t="inlineStr">
        <is>
          <t>BUILDING_PAIR_SYNERGY</t>
        </is>
      </c>
      <c r="O160" s="15" t="inlineStr">
        <is>
          <t>zinc,cat</t>
        </is>
      </c>
      <c r="P160" s="15" t="inlineStr">
        <is>
          <t>FORMULA</t>
        </is>
      </c>
      <c r="Q160" s="15" t="inlineStr">
        <is>
          <t>5% / 0.1%</t>
        </is>
      </c>
      <c r="R160" s="15" t="inlineStr">
        <is>
          <t>锌矿倍率=1+5%×cat_owned；猫矿倍率=1+0.1%×zinc_owned。</t>
        </is>
      </c>
      <c r="S160" s="15" t="inlineStr">
        <is>
          <t>高阶矿显著复活低阶矿；低阶矿只轻推高阶矿。</t>
        </is>
      </c>
      <c r="T160" s="15" t="inlineStr">
        <is>
          <t>大数阶段</t>
        </is>
      </c>
      <c r="U160" s="15" t="b">
        <v>0</v>
      </c>
      <c r="V160" s="15" t="inlineStr">
        <is>
          <t>同一协同节点只计算一次；不要把5%与0.1%方向写反。</t>
        </is>
      </c>
      <c r="W160" s="15" t="inlineStr">
        <is>
          <t>按解锁时ΔCPS×900秒定价；估算ΔCPS=20M，成本=18B。</t>
        </is>
      </c>
    </row>
    <row r="161" ht="36" customHeight="1">
      <c r="A161" s="15" t="inlineStr">
        <is>
          <t>synergy_ii_gold_crystal</t>
        </is>
      </c>
      <c r="B161" s="15" t="inlineStr">
        <is>
          <t>协同II·金矿×水晶矿</t>
        </is>
      </c>
      <c r="C161" s="37" t="inlineStr">
        <is>
          <t>矿物协同</t>
        </is>
      </c>
      <c r="D161" s="15" t="inlineStr">
        <is>
          <t>gold&lt;-&gt;crystal</t>
        </is>
      </c>
      <c r="E161" s="15" t="inlineStr">
        <is>
          <t>II</t>
        </is>
      </c>
      <c r="F161" s="15" t="inlineStr">
        <is>
          <t>unlock_gold,unlock_crystal</t>
        </is>
      </c>
      <c r="G161" s="15" t="inlineStr">
        <is>
          <t>meta_synergy_vol2</t>
        </is>
      </c>
      <c r="H161" s="15" t="inlineStr">
        <is>
          <t>gold_owned ≥ 75 且 crystal_owned ≥ 75</t>
        </is>
      </c>
      <c r="I161" s="15" t="inlineStr">
        <is>
          <t>金币</t>
        </is>
      </c>
      <c r="J161" s="20" t="n">
        <v>1100000000</v>
      </c>
      <c r="K161" s="15" t="inlineStr">
        <is>
          <t>1.1B</t>
        </is>
      </c>
      <c r="L161" s="32" t="n">
        <v>1.1</v>
      </c>
      <c r="M161" s="15" t="n">
        <v>9</v>
      </c>
      <c r="N161" s="15" t="inlineStr">
        <is>
          <t>BUILDING_PAIR_SYNERGY</t>
        </is>
      </c>
      <c r="O161" s="15" t="inlineStr">
        <is>
          <t>gold,crystal</t>
        </is>
      </c>
      <c r="P161" s="15" t="inlineStr">
        <is>
          <t>FORMULA</t>
        </is>
      </c>
      <c r="Q161" s="15" t="inlineStr">
        <is>
          <t>5% / 0.1%</t>
        </is>
      </c>
      <c r="R161" s="15" t="inlineStr">
        <is>
          <t>金矿倍率=1+5%×crystal_owned；水晶矿倍率=1+0.1%×gold_owned。</t>
        </is>
      </c>
      <c r="S161" s="15" t="inlineStr">
        <is>
          <t>高阶矿显著复活低阶矿；低阶矿只轻推高阶矿。</t>
        </is>
      </c>
      <c r="T161" s="15" t="inlineStr">
        <is>
          <t>大数阶段</t>
        </is>
      </c>
      <c r="U161" s="15" t="b">
        <v>0</v>
      </c>
      <c r="V161" s="15" t="inlineStr">
        <is>
          <t>同一协同节点只计算一次；不要把5%与0.1%方向写反。</t>
        </is>
      </c>
      <c r="W161" s="15" t="inlineStr">
        <is>
          <t>按解锁时ΔCPS×900秒定价；估算ΔCPS=1.17M，成本=1.1B。</t>
        </is>
      </c>
    </row>
    <row r="162" ht="36" customHeight="1">
      <c r="A162" s="15" t="inlineStr">
        <is>
          <t>terrain_dirt_1</t>
        </is>
      </c>
      <c r="B162" s="15" t="inlineStr">
        <is>
          <t>泥土协同 I</t>
        </is>
      </c>
      <c r="C162" s="35" t="inlineStr">
        <is>
          <t>地块协同</t>
        </is>
      </c>
      <c r="D162" s="15" t="inlineStr">
        <is>
          <t>dirt</t>
        </is>
      </c>
      <c r="E162" s="15" t="n">
        <v>1</v>
      </c>
      <c r="F162" s="15" t="inlineStr">
        <is>
          <t>unlock_tile_dirt,unlock_coal</t>
        </is>
      </c>
      <c r="G162" s="15" t="inlineStr"/>
      <c r="H162" s="15" t="inlineStr">
        <is>
          <t>placed_dirt ≥ 10</t>
        </is>
      </c>
      <c r="I162" s="15" t="inlineStr">
        <is>
          <t>金币</t>
        </is>
      </c>
      <c r="J162" s="20" t="n">
        <v>1800</v>
      </c>
      <c r="K162" s="15" t="inlineStr">
        <is>
          <t>1.8K</t>
        </is>
      </c>
      <c r="L162" s="32" t="n">
        <v>1.8</v>
      </c>
      <c r="M162" s="15" t="n">
        <v>3</v>
      </c>
      <c r="N162" s="15" t="inlineStr">
        <is>
          <t>TERRAIN_BUILDING_SYNERGY</t>
        </is>
      </c>
      <c r="O162" s="15" t="inlineStr">
        <is>
          <t>coal</t>
        </is>
      </c>
      <c r="P162" s="15" t="inlineStr">
        <is>
          <t>SET_RATE_PER_10</t>
        </is>
      </c>
      <c r="Q162" s="15" t="n">
        <v>0.1</v>
      </c>
      <c r="R162" s="15" t="inlineStr">
        <is>
          <t>煤矿每10块泥土 +10%，最多计算10组。</t>
        </is>
      </c>
      <c r="S162" s="15" t="inlineStr">
        <is>
          <t>煤矿每10块泥土 +10%，最多计算10组。</t>
        </is>
      </c>
      <c r="T162" s="15" t="inlineStr">
        <is>
          <t>本轮核心</t>
        </is>
      </c>
      <c r="U162" s="15" t="b">
        <v>0</v>
      </c>
      <c r="V162" s="15" t="inlineStr">
        <is>
          <t>协同按当前已放置且与中心连通的地块数计算；库存不计入。倍率组数上限10。</t>
        </is>
      </c>
      <c r="W162" s="15" t="inlineStr">
        <is>
          <t>本级增量系数=10%；假设EligibleCPS=30；cost=ΔCPS×600s=1.8K。</t>
        </is>
      </c>
    </row>
    <row r="163" ht="36" customHeight="1">
      <c r="A163" s="15" t="inlineStr">
        <is>
          <t>terrain_dirt_2</t>
        </is>
      </c>
      <c r="B163" s="15" t="inlineStr">
        <is>
          <t>泥土协同 II</t>
        </is>
      </c>
      <c r="C163" s="35" t="inlineStr">
        <is>
          <t>地块协同</t>
        </is>
      </c>
      <c r="D163" s="15" t="inlineStr">
        <is>
          <t>dirt</t>
        </is>
      </c>
      <c r="E163" s="15" t="n">
        <v>2</v>
      </c>
      <c r="F163" s="15" t="inlineStr">
        <is>
          <t>terrain_dirt_1</t>
        </is>
      </c>
      <c r="G163" s="15" t="inlineStr"/>
      <c r="H163" s="15" t="inlineStr">
        <is>
          <t>placed_dirt ≥ 50</t>
        </is>
      </c>
      <c r="I163" s="15" t="inlineStr">
        <is>
          <t>金币</t>
        </is>
      </c>
      <c r="J163" s="20" t="n">
        <v>130000</v>
      </c>
      <c r="K163" s="15" t="inlineStr">
        <is>
          <t>130K</t>
        </is>
      </c>
      <c r="L163" s="32" t="n">
        <v>1.3</v>
      </c>
      <c r="M163" s="15" t="n">
        <v>5</v>
      </c>
      <c r="N163" s="15" t="inlineStr">
        <is>
          <t>TERRAIN_BUILDING_SYNERGY</t>
        </is>
      </c>
      <c r="O163" s="15" t="inlineStr">
        <is>
          <t>coal</t>
        </is>
      </c>
      <c r="P163" s="15" t="inlineStr">
        <is>
          <t>SET_RATE_PER_10</t>
        </is>
      </c>
      <c r="Q163" s="15" t="n">
        <v>0.15</v>
      </c>
      <c r="R163" s="15" t="inlineStr">
        <is>
          <t>煤矿每10块泥土 +15%，最多计算10组。</t>
        </is>
      </c>
      <c r="S163" s="15" t="inlineStr">
        <is>
          <t>煤矿每10块泥土 +15%，最多计算10组。</t>
        </is>
      </c>
      <c r="T163" s="15" t="inlineStr">
        <is>
          <t>升华扩展 I</t>
        </is>
      </c>
      <c r="U163" s="15" t="b">
        <v>0</v>
      </c>
      <c r="V163" s="15" t="inlineStr">
        <is>
          <t>协同按当前已放置且与中心连通的地块数计算；库存不计入。倍率组数上限10。</t>
        </is>
      </c>
      <c r="W163" s="15" t="inlineStr">
        <is>
          <t>本级增量系数=25%；假设EligibleCPS=600；cost=ΔCPS×900s=130K。</t>
        </is>
      </c>
    </row>
    <row r="164" ht="36" customHeight="1">
      <c r="A164" s="15" t="inlineStr">
        <is>
          <t>terrain_dirt_3</t>
        </is>
      </c>
      <c r="B164" s="15" t="inlineStr">
        <is>
          <t>泥土协同 III</t>
        </is>
      </c>
      <c r="C164" s="35" t="inlineStr">
        <is>
          <t>地块协同</t>
        </is>
      </c>
      <c r="D164" s="15" t="inlineStr">
        <is>
          <t>dirt</t>
        </is>
      </c>
      <c r="E164" s="15" t="n">
        <v>3</v>
      </c>
      <c r="F164" s="15" t="inlineStr">
        <is>
          <t>terrain_dirt_2</t>
        </is>
      </c>
      <c r="G164" s="15" t="inlineStr"/>
      <c r="H164" s="15" t="inlineStr">
        <is>
          <t>placed_dirt ≥ 100</t>
        </is>
      </c>
      <c r="I164" s="15" t="inlineStr">
        <is>
          <t>金币</t>
        </is>
      </c>
      <c r="J164" s="20" t="n">
        <v>2900000</v>
      </c>
      <c r="K164" s="15" t="inlineStr">
        <is>
          <t>2.9M</t>
        </is>
      </c>
      <c r="L164" s="32" t="n">
        <v>2.9</v>
      </c>
      <c r="M164" s="15" t="n">
        <v>6</v>
      </c>
      <c r="N164" s="15" t="inlineStr">
        <is>
          <t>TERRAIN_BUILDING_SYNERGY</t>
        </is>
      </c>
      <c r="O164" s="15" t="inlineStr">
        <is>
          <t>coal</t>
        </is>
      </c>
      <c r="P164" s="15" t="inlineStr">
        <is>
          <t>SET_RATE_PER_10</t>
        </is>
      </c>
      <c r="Q164" s="15" t="n">
        <v>0.2</v>
      </c>
      <c r="R164" s="15" t="inlineStr">
        <is>
          <t>煤矿每10块泥土 +20%，最多计算10组。</t>
        </is>
      </c>
      <c r="S164" s="15" t="inlineStr">
        <is>
          <t>煤矿每10块泥土 +20%，最多计算10组。</t>
        </is>
      </c>
      <c r="T164" s="15" t="inlineStr">
        <is>
          <t>大数阶段</t>
        </is>
      </c>
      <c r="U164" s="15" t="b">
        <v>0</v>
      </c>
      <c r="V164" s="15" t="inlineStr">
        <is>
          <t>协同按当前已放置且与中心连通的地块数计算；库存不计入。倍率组数上限10。</t>
        </is>
      </c>
      <c r="W164" s="15" t="inlineStr">
        <is>
          <t>本级增量系数=50%；假设EligibleCPS=4.8K；cost=ΔCPS×1200s=2.9M。</t>
        </is>
      </c>
    </row>
    <row r="165" ht="36" customHeight="1">
      <c r="A165" s="15" t="inlineStr">
        <is>
          <t>terrain_grass_1</t>
        </is>
      </c>
      <c r="B165" s="15" t="inlineStr">
        <is>
          <t>草地协同 I</t>
        </is>
      </c>
      <c r="C165" s="35" t="inlineStr">
        <is>
          <t>地块协同</t>
        </is>
      </c>
      <c r="D165" s="15" t="inlineStr">
        <is>
          <t>grass</t>
        </is>
      </c>
      <c r="E165" s="15" t="n">
        <v>1</v>
      </c>
      <c r="F165" s="15" t="inlineStr">
        <is>
          <t>unlock_tile_grass,unlock_gold</t>
        </is>
      </c>
      <c r="G165" s="15" t="inlineStr"/>
      <c r="H165" s="15" t="inlineStr">
        <is>
          <t>placed_grass ≥ 10</t>
        </is>
      </c>
      <c r="I165" s="15" t="inlineStr">
        <is>
          <t>金币</t>
        </is>
      </c>
      <c r="J165" s="20" t="n">
        <v>850000</v>
      </c>
      <c r="K165" s="15" t="inlineStr">
        <is>
          <t>850K</t>
        </is>
      </c>
      <c r="L165" s="32" t="n">
        <v>8.5</v>
      </c>
      <c r="M165" s="15" t="n">
        <v>5</v>
      </c>
      <c r="N165" s="15" t="inlineStr">
        <is>
          <t>TERRAIN_BUILDING_SYNERGY</t>
        </is>
      </c>
      <c r="O165" s="15" t="inlineStr">
        <is>
          <t>gold</t>
        </is>
      </c>
      <c r="P165" s="15" t="inlineStr">
        <is>
          <t>SET_RATE_PER_10</t>
        </is>
      </c>
      <c r="Q165" s="15" t="n">
        <v>0.1</v>
      </c>
      <c r="R165" s="15" t="inlineStr">
        <is>
          <t>金矿每10块草地 +10%，最多计算10组。</t>
        </is>
      </c>
      <c r="S165" s="15" t="inlineStr">
        <is>
          <t>每有10个草地强化金矿收益。</t>
        </is>
      </c>
      <c r="T165" s="15" t="inlineStr">
        <is>
          <t>本轮核心</t>
        </is>
      </c>
      <c r="U165" s="15" t="b">
        <v>0</v>
      </c>
      <c r="V165" s="15" t="inlineStr">
        <is>
          <t>协同按当前已放置且与中心连通的地块数计算；库存不计入。倍率组数上限10。</t>
        </is>
      </c>
      <c r="W165" s="15" t="inlineStr">
        <is>
          <t>本级增量系数=10%；假设EligibleCPS=14.1K；cost=ΔCPS×600s=850K。</t>
        </is>
      </c>
    </row>
    <row r="166" ht="36" customHeight="1">
      <c r="A166" s="15" t="inlineStr">
        <is>
          <t>terrain_grass_2</t>
        </is>
      </c>
      <c r="B166" s="15" t="inlineStr">
        <is>
          <t>草地协同 II</t>
        </is>
      </c>
      <c r="C166" s="35" t="inlineStr">
        <is>
          <t>地块协同</t>
        </is>
      </c>
      <c r="D166" s="15" t="inlineStr">
        <is>
          <t>grass</t>
        </is>
      </c>
      <c r="E166" s="15" t="n">
        <v>2</v>
      </c>
      <c r="F166" s="15" t="inlineStr">
        <is>
          <t>terrain_grass_1</t>
        </is>
      </c>
      <c r="G166" s="15" t="inlineStr"/>
      <c r="H166" s="15" t="inlineStr">
        <is>
          <t>placed_grass ≥ 50</t>
        </is>
      </c>
      <c r="I166" s="15" t="inlineStr">
        <is>
          <t>金币</t>
        </is>
      </c>
      <c r="J166" s="20" t="n">
        <v>63000000</v>
      </c>
      <c r="K166" s="15" t="inlineStr">
        <is>
          <t>63M</t>
        </is>
      </c>
      <c r="L166" s="32" t="n">
        <v>6.3</v>
      </c>
      <c r="M166" s="15" t="n">
        <v>7</v>
      </c>
      <c r="N166" s="15" t="inlineStr">
        <is>
          <t>TERRAIN_BUILDING_SYNERGY</t>
        </is>
      </c>
      <c r="O166" s="15" t="inlineStr">
        <is>
          <t>gold</t>
        </is>
      </c>
      <c r="P166" s="15" t="inlineStr">
        <is>
          <t>SET_RATE_PER_10</t>
        </is>
      </c>
      <c r="Q166" s="15" t="n">
        <v>0.15</v>
      </c>
      <c r="R166" s="15" t="inlineStr">
        <is>
          <t>金矿每10块草地 +15%，最多计算10组。</t>
        </is>
      </c>
      <c r="S166" s="15" t="inlineStr">
        <is>
          <t>每有10个草地强化金矿收益。</t>
        </is>
      </c>
      <c r="T166" s="15" t="inlineStr">
        <is>
          <t>升华扩展 I</t>
        </is>
      </c>
      <c r="U166" s="15" t="b">
        <v>0</v>
      </c>
      <c r="V166" s="15" t="inlineStr">
        <is>
          <t>协同按当前已放置且与中心连通的地块数计算；库存不计入。倍率组数上限10。</t>
        </is>
      </c>
      <c r="W166" s="15" t="inlineStr">
        <is>
          <t>本级增量系数=25%；假设EligibleCPS=282K；cost=ΔCPS×900s=63M。</t>
        </is>
      </c>
    </row>
    <row r="167" ht="36" customHeight="1">
      <c r="A167" s="15" t="inlineStr">
        <is>
          <t>terrain_grass_3</t>
        </is>
      </c>
      <c r="B167" s="15" t="inlineStr">
        <is>
          <t>草地协同 III</t>
        </is>
      </c>
      <c r="C167" s="35" t="inlineStr">
        <is>
          <t>地块协同</t>
        </is>
      </c>
      <c r="D167" s="15" t="inlineStr">
        <is>
          <t>grass</t>
        </is>
      </c>
      <c r="E167" s="15" t="n">
        <v>3</v>
      </c>
      <c r="F167" s="15" t="inlineStr">
        <is>
          <t>terrain_grass_2</t>
        </is>
      </c>
      <c r="G167" s="15" t="inlineStr"/>
      <c r="H167" s="15" t="inlineStr">
        <is>
          <t>placed_grass ≥ 100</t>
        </is>
      </c>
      <c r="I167" s="15" t="inlineStr">
        <is>
          <t>金币</t>
        </is>
      </c>
      <c r="J167" s="20" t="n">
        <v>1400000000</v>
      </c>
      <c r="K167" s="15" t="inlineStr">
        <is>
          <t>1.4B</t>
        </is>
      </c>
      <c r="L167" s="32" t="n">
        <v>1.4</v>
      </c>
      <c r="M167" s="15" t="n">
        <v>9</v>
      </c>
      <c r="N167" s="15" t="inlineStr">
        <is>
          <t>TERRAIN_BUILDING_SYNERGY</t>
        </is>
      </c>
      <c r="O167" s="15" t="inlineStr">
        <is>
          <t>gold</t>
        </is>
      </c>
      <c r="P167" s="15" t="inlineStr">
        <is>
          <t>SET_RATE_PER_10</t>
        </is>
      </c>
      <c r="Q167" s="15" t="n">
        <v>0.2</v>
      </c>
      <c r="R167" s="15" t="inlineStr">
        <is>
          <t>金矿每10块草地 +20%，最多计算10组。</t>
        </is>
      </c>
      <c r="S167" s="15" t="inlineStr">
        <is>
          <t>每有10个草地强化金矿收益。</t>
        </is>
      </c>
      <c r="T167" s="15" t="inlineStr">
        <is>
          <t>大数阶段</t>
        </is>
      </c>
      <c r="U167" s="15" t="b">
        <v>0</v>
      </c>
      <c r="V167" s="15" t="inlineStr">
        <is>
          <t>协同按当前已放置且与中心连通的地块数计算；库存不计入。倍率组数上限10。</t>
        </is>
      </c>
      <c r="W167" s="15" t="inlineStr">
        <is>
          <t>本级增量系数=50%；假设EligibleCPS=2.26M；cost=ΔCPS×1200s=1.4B。</t>
        </is>
      </c>
    </row>
    <row r="168" ht="36" customHeight="1">
      <c r="A168" s="15" t="inlineStr">
        <is>
          <t>terrain_stone_1</t>
        </is>
      </c>
      <c r="B168" s="15" t="inlineStr">
        <is>
          <t>石头协同 I</t>
        </is>
      </c>
      <c r="C168" s="35" t="inlineStr">
        <is>
          <t>地块协同</t>
        </is>
      </c>
      <c r="D168" s="15" t="inlineStr">
        <is>
          <t>stone</t>
        </is>
      </c>
      <c r="E168" s="15" t="n">
        <v>1</v>
      </c>
      <c r="F168" s="15" t="inlineStr">
        <is>
          <t>unlock_tile_stone,unlock_iron</t>
        </is>
      </c>
      <c r="G168" s="15" t="inlineStr"/>
      <c r="H168" s="15" t="inlineStr">
        <is>
          <t>placed_stone ≥ 10</t>
        </is>
      </c>
      <c r="I168" s="15" t="inlineStr">
        <is>
          <t>金币</t>
        </is>
      </c>
      <c r="J168" s="20" t="n">
        <v>18000</v>
      </c>
      <c r="K168" s="15" t="inlineStr">
        <is>
          <t>18K</t>
        </is>
      </c>
      <c r="L168" s="32" t="n">
        <v>1.8</v>
      </c>
      <c r="M168" s="15" t="n">
        <v>4</v>
      </c>
      <c r="N168" s="15" t="inlineStr">
        <is>
          <t>TERRAIN_BUILDING_SYNERGY</t>
        </is>
      </c>
      <c r="O168" s="15" t="inlineStr">
        <is>
          <t>iron</t>
        </is>
      </c>
      <c r="P168" s="15" t="inlineStr">
        <is>
          <t>SET_RATE_PER_10</t>
        </is>
      </c>
      <c r="Q168" s="15" t="n">
        <v>0.1</v>
      </c>
      <c r="R168" s="15" t="inlineStr">
        <is>
          <t>铁矿每10块石头 +10%，最多计算10组。</t>
        </is>
      </c>
      <c r="S168" s="15" t="inlineStr">
        <is>
          <t>铁矿每10块石头 +10%，最多计算10组。</t>
        </is>
      </c>
      <c r="T168" s="15" t="inlineStr">
        <is>
          <t>本轮核心</t>
        </is>
      </c>
      <c r="U168" s="15" t="b">
        <v>0</v>
      </c>
      <c r="V168" s="15" t="inlineStr">
        <is>
          <t>协同按当前已放置且与中心连通的地块数计算；库存不计入。倍率组数上限10。</t>
        </is>
      </c>
      <c r="W168" s="15" t="inlineStr">
        <is>
          <t>本级增量系数=10%；假设EligibleCPS=300；cost=ΔCPS×600s=18K。</t>
        </is>
      </c>
    </row>
    <row r="169" ht="36" customHeight="1">
      <c r="A169" s="15" t="inlineStr">
        <is>
          <t>terrain_stone_2</t>
        </is>
      </c>
      <c r="B169" s="15" t="inlineStr">
        <is>
          <t>石头协同 II</t>
        </is>
      </c>
      <c r="C169" s="35" t="inlineStr">
        <is>
          <t>地块协同</t>
        </is>
      </c>
      <c r="D169" s="15" t="inlineStr">
        <is>
          <t>stone</t>
        </is>
      </c>
      <c r="E169" s="15" t="n">
        <v>2</v>
      </c>
      <c r="F169" s="15" t="inlineStr">
        <is>
          <t>terrain_stone_1</t>
        </is>
      </c>
      <c r="G169" s="15" t="inlineStr"/>
      <c r="H169" s="15" t="inlineStr">
        <is>
          <t>placed_stone ≥ 50</t>
        </is>
      </c>
      <c r="I169" s="15" t="inlineStr">
        <is>
          <t>金币</t>
        </is>
      </c>
      <c r="J169" s="20" t="n">
        <v>1300000</v>
      </c>
      <c r="K169" s="15" t="inlineStr">
        <is>
          <t>1.3M</t>
        </is>
      </c>
      <c r="L169" s="32" t="n">
        <v>1.3</v>
      </c>
      <c r="M169" s="15" t="n">
        <v>6</v>
      </c>
      <c r="N169" s="15" t="inlineStr">
        <is>
          <t>TERRAIN_BUILDING_SYNERGY</t>
        </is>
      </c>
      <c r="O169" s="15" t="inlineStr">
        <is>
          <t>iron</t>
        </is>
      </c>
      <c r="P169" s="15" t="inlineStr">
        <is>
          <t>SET_RATE_PER_10</t>
        </is>
      </c>
      <c r="Q169" s="15" t="n">
        <v>0.15</v>
      </c>
      <c r="R169" s="15" t="inlineStr">
        <is>
          <t>铁矿每10块石头 +15%，最多计算10组。</t>
        </is>
      </c>
      <c r="S169" s="15" t="inlineStr">
        <is>
          <t>铁矿每10块石头 +15%，最多计算10组。</t>
        </is>
      </c>
      <c r="T169" s="15" t="inlineStr">
        <is>
          <t>升华扩展 I</t>
        </is>
      </c>
      <c r="U169" s="15" t="b">
        <v>0</v>
      </c>
      <c r="V169" s="15" t="inlineStr">
        <is>
          <t>协同按当前已放置且与中心连通的地块数计算；库存不计入。倍率组数上限10。</t>
        </is>
      </c>
      <c r="W169" s="15" t="inlineStr">
        <is>
          <t>本级增量系数=25%；假设EligibleCPS=6K；cost=ΔCPS×900s=1.3M。</t>
        </is>
      </c>
    </row>
    <row r="170" ht="36" customHeight="1">
      <c r="A170" s="15" t="inlineStr">
        <is>
          <t>terrain_stone_3</t>
        </is>
      </c>
      <c r="B170" s="15" t="inlineStr">
        <is>
          <t>石头协同 III</t>
        </is>
      </c>
      <c r="C170" s="35" t="inlineStr">
        <is>
          <t>地块协同</t>
        </is>
      </c>
      <c r="D170" s="15" t="inlineStr">
        <is>
          <t>stone</t>
        </is>
      </c>
      <c r="E170" s="15" t="n">
        <v>3</v>
      </c>
      <c r="F170" s="15" t="inlineStr">
        <is>
          <t>terrain_stone_2</t>
        </is>
      </c>
      <c r="G170" s="15" t="inlineStr"/>
      <c r="H170" s="15" t="inlineStr">
        <is>
          <t>placed_stone ≥ 100</t>
        </is>
      </c>
      <c r="I170" s="15" t="inlineStr">
        <is>
          <t>金币</t>
        </is>
      </c>
      <c r="J170" s="20" t="n">
        <v>29000000</v>
      </c>
      <c r="K170" s="15" t="inlineStr">
        <is>
          <t>29M</t>
        </is>
      </c>
      <c r="L170" s="32" t="n">
        <v>2.9</v>
      </c>
      <c r="M170" s="15" t="n">
        <v>7</v>
      </c>
      <c r="N170" s="15" t="inlineStr">
        <is>
          <t>TERRAIN_BUILDING_SYNERGY</t>
        </is>
      </c>
      <c r="O170" s="15" t="inlineStr">
        <is>
          <t>iron</t>
        </is>
      </c>
      <c r="P170" s="15" t="inlineStr">
        <is>
          <t>SET_RATE_PER_10</t>
        </is>
      </c>
      <c r="Q170" s="15" t="n">
        <v>0.2</v>
      </c>
      <c r="R170" s="15" t="inlineStr">
        <is>
          <t>铁矿每10块石头 +20%，最多计算10组。</t>
        </is>
      </c>
      <c r="S170" s="15" t="inlineStr">
        <is>
          <t>铁矿每10块石头 +20%，最多计算10组。</t>
        </is>
      </c>
      <c r="T170" s="15" t="inlineStr">
        <is>
          <t>大数阶段</t>
        </is>
      </c>
      <c r="U170" s="15" t="b">
        <v>0</v>
      </c>
      <c r="V170" s="15" t="inlineStr">
        <is>
          <t>协同按当前已放置且与中心连通的地块数计算；库存不计入。倍率组数上限10。</t>
        </is>
      </c>
      <c r="W170" s="15" t="inlineStr">
        <is>
          <t>本级增量系数=50%；假设EligibleCPS=48K；cost=ΔCPS×1200s=29M。</t>
        </is>
      </c>
    </row>
    <row r="171" ht="36" customHeight="1">
      <c r="A171" s="15" t="inlineStr">
        <is>
          <t>terrain_water_1</t>
        </is>
      </c>
      <c r="B171" s="15" t="inlineStr">
        <is>
          <t>水域协同 I</t>
        </is>
      </c>
      <c r="C171" s="35" t="inlineStr">
        <is>
          <t>地块协同</t>
        </is>
      </c>
      <c r="D171" s="15" t="inlineStr">
        <is>
          <t>water</t>
        </is>
      </c>
      <c r="E171" s="15" t="n">
        <v>1</v>
      </c>
      <c r="F171" s="15" t="inlineStr">
        <is>
          <t>unlock_tile_water,unlock_zinc</t>
        </is>
      </c>
      <c r="G171" s="15" t="inlineStr"/>
      <c r="H171" s="15" t="inlineStr">
        <is>
          <t>placed_water ≥ 10</t>
        </is>
      </c>
      <c r="I171" s="15" t="inlineStr">
        <is>
          <t>金币</t>
        </is>
      </c>
      <c r="J171" s="20" t="n">
        <v>140000</v>
      </c>
      <c r="K171" s="15" t="inlineStr">
        <is>
          <t>140K</t>
        </is>
      </c>
      <c r="L171" s="32" t="n">
        <v>1.4</v>
      </c>
      <c r="M171" s="15" t="n">
        <v>5</v>
      </c>
      <c r="N171" s="15" t="inlineStr">
        <is>
          <t>TERRAIN_BUILDING_SYNERGY</t>
        </is>
      </c>
      <c r="O171" s="15" t="inlineStr">
        <is>
          <t>zinc</t>
        </is>
      </c>
      <c r="P171" s="15" t="inlineStr">
        <is>
          <t>SET_RATE_PER_10</t>
        </is>
      </c>
      <c r="Q171" s="15" t="n">
        <v>0.1</v>
      </c>
      <c r="R171" s="15" t="inlineStr">
        <is>
          <t>锌矿每10块水域 +10%，最多计算10组。</t>
        </is>
      </c>
      <c r="S171" s="15" t="inlineStr">
        <is>
          <t>锌矿每10块水域 +10%，最多计算10组。</t>
        </is>
      </c>
      <c r="T171" s="15" t="inlineStr">
        <is>
          <t>本轮核心</t>
        </is>
      </c>
      <c r="U171" s="15" t="b">
        <v>0</v>
      </c>
      <c r="V171" s="15" t="inlineStr">
        <is>
          <t>协同按当前已放置且与中心连通的地块数计算；库存不计入。倍率组数上限10。</t>
        </is>
      </c>
      <c r="W171" s="15" t="inlineStr">
        <is>
          <t>本级增量系数=10%；假设EligibleCPS=2.4K；cost=ΔCPS×600s=140K。</t>
        </is>
      </c>
    </row>
    <row r="172" ht="36" customHeight="1">
      <c r="A172" s="15" t="inlineStr">
        <is>
          <t>terrain_water_2</t>
        </is>
      </c>
      <c r="B172" s="15" t="inlineStr">
        <is>
          <t>水域协同 II</t>
        </is>
      </c>
      <c r="C172" s="35" t="inlineStr">
        <is>
          <t>地块协同</t>
        </is>
      </c>
      <c r="D172" s="15" t="inlineStr">
        <is>
          <t>water</t>
        </is>
      </c>
      <c r="E172" s="15" t="n">
        <v>2</v>
      </c>
      <c r="F172" s="15" t="inlineStr">
        <is>
          <t>terrain_water_1</t>
        </is>
      </c>
      <c r="G172" s="15" t="inlineStr"/>
      <c r="H172" s="15" t="inlineStr">
        <is>
          <t>placed_water ≥ 50</t>
        </is>
      </c>
      <c r="I172" s="15" t="inlineStr">
        <is>
          <t>金币</t>
        </is>
      </c>
      <c r="J172" s="20" t="n">
        <v>11000000</v>
      </c>
      <c r="K172" s="15" t="inlineStr">
        <is>
          <t>11M</t>
        </is>
      </c>
      <c r="L172" s="32" t="n">
        <v>1.1</v>
      </c>
      <c r="M172" s="15" t="n">
        <v>7</v>
      </c>
      <c r="N172" s="15" t="inlineStr">
        <is>
          <t>TERRAIN_BUILDING_SYNERGY</t>
        </is>
      </c>
      <c r="O172" s="15" t="inlineStr">
        <is>
          <t>zinc</t>
        </is>
      </c>
      <c r="P172" s="15" t="inlineStr">
        <is>
          <t>SET_RATE_PER_10</t>
        </is>
      </c>
      <c r="Q172" s="15" t="n">
        <v>0.15</v>
      </c>
      <c r="R172" s="15" t="inlineStr">
        <is>
          <t>锌矿每10块水域 +15%，最多计算10组。</t>
        </is>
      </c>
      <c r="S172" s="15" t="inlineStr">
        <is>
          <t>锌矿每10块水域 +15%，最多计算10组。</t>
        </is>
      </c>
      <c r="T172" s="15" t="inlineStr">
        <is>
          <t>升华扩展 I</t>
        </is>
      </c>
      <c r="U172" s="15" t="b">
        <v>0</v>
      </c>
      <c r="V172" s="15" t="inlineStr">
        <is>
          <t>协同按当前已放置且与中心连通的地块数计算；库存不计入。倍率组数上限10。</t>
        </is>
      </c>
      <c r="W172" s="15" t="inlineStr">
        <is>
          <t>本级增量系数=25%；假设EligibleCPS=48K；cost=ΔCPS×900s=11M。</t>
        </is>
      </c>
    </row>
    <row r="173" ht="36" customHeight="1">
      <c r="A173" s="15" t="inlineStr">
        <is>
          <t>terrain_water_3</t>
        </is>
      </c>
      <c r="B173" s="15" t="inlineStr">
        <is>
          <t>水域协同 III</t>
        </is>
      </c>
      <c r="C173" s="35" t="inlineStr">
        <is>
          <t>地块协同</t>
        </is>
      </c>
      <c r="D173" s="15" t="inlineStr">
        <is>
          <t>water</t>
        </is>
      </c>
      <c r="E173" s="15" t="n">
        <v>3</v>
      </c>
      <c r="F173" s="15" t="inlineStr">
        <is>
          <t>terrain_water_2</t>
        </is>
      </c>
      <c r="G173" s="15" t="inlineStr"/>
      <c r="H173" s="15" t="inlineStr">
        <is>
          <t>placed_water ≥ 100</t>
        </is>
      </c>
      <c r="I173" s="15" t="inlineStr">
        <is>
          <t>金币</t>
        </is>
      </c>
      <c r="J173" s="20" t="n">
        <v>230000000</v>
      </c>
      <c r="K173" s="15" t="inlineStr">
        <is>
          <t>230M</t>
        </is>
      </c>
      <c r="L173" s="32" t="n">
        <v>2.3</v>
      </c>
      <c r="M173" s="15" t="n">
        <v>8</v>
      </c>
      <c r="N173" s="15" t="inlineStr">
        <is>
          <t>TERRAIN_BUILDING_SYNERGY</t>
        </is>
      </c>
      <c r="O173" s="15" t="inlineStr">
        <is>
          <t>zinc</t>
        </is>
      </c>
      <c r="P173" s="15" t="inlineStr">
        <is>
          <t>SET_RATE_PER_10</t>
        </is>
      </c>
      <c r="Q173" s="15" t="n">
        <v>0.2</v>
      </c>
      <c r="R173" s="15" t="inlineStr">
        <is>
          <t>锌矿每10块水域 +20%，最多计算10组。</t>
        </is>
      </c>
      <c r="S173" s="15" t="inlineStr">
        <is>
          <t>锌矿每10块水域 +20%，最多计算10组。</t>
        </is>
      </c>
      <c r="T173" s="15" t="inlineStr">
        <is>
          <t>大数阶段</t>
        </is>
      </c>
      <c r="U173" s="15" t="b">
        <v>0</v>
      </c>
      <c r="V173" s="15" t="inlineStr">
        <is>
          <t>协同按当前已放置且与中心连通的地块数计算；库存不计入。倍率组数上限10。</t>
        </is>
      </c>
      <c r="W173" s="15" t="inlineStr">
        <is>
          <t>本级增量系数=50%；假设EligibleCPS=384K；cost=ΔCPS×1200s=230M。</t>
        </is>
      </c>
    </row>
    <row r="174" ht="36" customHeight="1">
      <c r="A174" s="15" t="inlineStr">
        <is>
          <t>terrain_fire_1</t>
        </is>
      </c>
      <c r="B174" s="15" t="inlineStr">
        <is>
          <t>熔岩协同 I</t>
        </is>
      </c>
      <c r="C174" s="35" t="inlineStr">
        <is>
          <t>地块协同</t>
        </is>
      </c>
      <c r="D174" s="15" t="inlineStr">
        <is>
          <t>fire</t>
        </is>
      </c>
      <c r="E174" s="15" t="n">
        <v>1</v>
      </c>
      <c r="F174" s="15" t="inlineStr">
        <is>
          <t>unlock_tile_fire,unlock_coal</t>
        </is>
      </c>
      <c r="G174" s="15" t="inlineStr"/>
      <c r="H174" s="15" t="inlineStr">
        <is>
          <t>placed_fire ≥ 10</t>
        </is>
      </c>
      <c r="I174" s="15" t="inlineStr">
        <is>
          <t>金币</t>
        </is>
      </c>
      <c r="J174" s="20" t="n">
        <v>190000000</v>
      </c>
      <c r="K174" s="15" t="inlineStr">
        <is>
          <t>190M</t>
        </is>
      </c>
      <c r="L174" s="32" t="n">
        <v>1.9</v>
      </c>
      <c r="M174" s="15" t="n">
        <v>8</v>
      </c>
      <c r="N174" s="15" t="inlineStr">
        <is>
          <t>TERRAIN_BUILDING_SYNERGY</t>
        </is>
      </c>
      <c r="O174" s="15" t="inlineStr">
        <is>
          <t>coal,iron,zinc,gold,crystal,obsidian,diamond,cat</t>
        </is>
      </c>
      <c r="P174" s="15" t="inlineStr">
        <is>
          <t>SET_RATE_PER_10</t>
        </is>
      </c>
      <c r="Q174" s="15" t="n">
        <v>0.02</v>
      </c>
      <c r="R174" s="15" t="inlineStr">
        <is>
          <t>全部矿物每10块熔岩 +2%，最多计算10组。</t>
        </is>
      </c>
      <c r="S174" s="15" t="inlineStr">
        <is>
          <t>全部矿物每10块熔岩 +2%，最多计算10组。</t>
        </is>
      </c>
      <c r="T174" s="15" t="inlineStr">
        <is>
          <t>本轮核心</t>
        </is>
      </c>
      <c r="U174" s="15" t="b">
        <v>0</v>
      </c>
      <c r="V174" s="15" t="inlineStr">
        <is>
          <t>协同按当前已放置且与中心连通的地块数计算；库存不计入。倍率组数上限10。</t>
        </is>
      </c>
      <c r="W174" s="15" t="inlineStr">
        <is>
          <t>本级增量系数=2%；假设EligibleCPS=16.1M；cost=ΔCPS×600s=190M。</t>
        </is>
      </c>
    </row>
    <row r="175" ht="36" customHeight="1">
      <c r="A175" s="15" t="inlineStr">
        <is>
          <t>terrain_fire_2</t>
        </is>
      </c>
      <c r="B175" s="15" t="inlineStr">
        <is>
          <t>熔岩协同 II</t>
        </is>
      </c>
      <c r="C175" s="35" t="inlineStr">
        <is>
          <t>地块协同</t>
        </is>
      </c>
      <c r="D175" s="15" t="inlineStr">
        <is>
          <t>fire</t>
        </is>
      </c>
      <c r="E175" s="15" t="n">
        <v>2</v>
      </c>
      <c r="F175" s="15" t="inlineStr">
        <is>
          <t>terrain_fire_1</t>
        </is>
      </c>
      <c r="G175" s="15" t="inlineStr"/>
      <c r="H175" s="15" t="inlineStr">
        <is>
          <t>placed_fire ≥ 50</t>
        </is>
      </c>
      <c r="I175" s="15" t="inlineStr">
        <is>
          <t>金币</t>
        </is>
      </c>
      <c r="J175" s="20" t="n">
        <v>14000000000</v>
      </c>
      <c r="K175" s="15" t="inlineStr">
        <is>
          <t>14B</t>
        </is>
      </c>
      <c r="L175" s="32" t="n">
        <v>1.4</v>
      </c>
      <c r="M175" s="15" t="n">
        <v>10</v>
      </c>
      <c r="N175" s="15" t="inlineStr">
        <is>
          <t>TERRAIN_BUILDING_SYNERGY</t>
        </is>
      </c>
      <c r="O175" s="15" t="inlineStr">
        <is>
          <t>coal,iron,zinc,gold,crystal,obsidian,diamond,cat</t>
        </is>
      </c>
      <c r="P175" s="15" t="inlineStr">
        <is>
          <t>SET_RATE_PER_10</t>
        </is>
      </c>
      <c r="Q175" s="15" t="n">
        <v>0.03</v>
      </c>
      <c r="R175" s="15" t="inlineStr">
        <is>
          <t>全部矿物每10块熔岩 +3%，最多计算10组。</t>
        </is>
      </c>
      <c r="S175" s="15" t="inlineStr">
        <is>
          <t>全部矿物每10块熔岩 +3%，最多计算10组。</t>
        </is>
      </c>
      <c r="T175" s="15" t="inlineStr">
        <is>
          <t>升华扩展 I</t>
        </is>
      </c>
      <c r="U175" s="15" t="b">
        <v>0</v>
      </c>
      <c r="V175" s="15" t="inlineStr">
        <is>
          <t>协同按当前已放置且与中心连通的地块数计算；库存不计入。倍率组数上限10。</t>
        </is>
      </c>
      <c r="W175" s="15" t="inlineStr">
        <is>
          <t>本级增量系数=5%；假设EligibleCPS=321M；cost=ΔCPS×900s=14B。</t>
        </is>
      </c>
    </row>
    <row r="176" ht="36" customHeight="1">
      <c r="A176" s="15" t="inlineStr">
        <is>
          <t>terrain_fire_3</t>
        </is>
      </c>
      <c r="B176" s="15" t="inlineStr">
        <is>
          <t>熔岩协同 III</t>
        </is>
      </c>
      <c r="C176" s="35" t="inlineStr">
        <is>
          <t>地块协同</t>
        </is>
      </c>
      <c r="D176" s="15" t="inlineStr">
        <is>
          <t>fire</t>
        </is>
      </c>
      <c r="E176" s="15" t="n">
        <v>3</v>
      </c>
      <c r="F176" s="15" t="inlineStr">
        <is>
          <t>terrain_fire_2</t>
        </is>
      </c>
      <c r="G176" s="15" t="inlineStr"/>
      <c r="H176" s="15" t="inlineStr">
        <is>
          <t>placed_fire ≥ 100</t>
        </is>
      </c>
      <c r="I176" s="15" t="inlineStr">
        <is>
          <t>金币</t>
        </is>
      </c>
      <c r="J176" s="20" t="n">
        <v>310000000000</v>
      </c>
      <c r="K176" s="15" t="inlineStr">
        <is>
          <t>310B</t>
        </is>
      </c>
      <c r="L176" s="32" t="n">
        <v>3.1</v>
      </c>
      <c r="M176" s="15" t="n">
        <v>11</v>
      </c>
      <c r="N176" s="15" t="inlineStr">
        <is>
          <t>TERRAIN_BUILDING_SYNERGY</t>
        </is>
      </c>
      <c r="O176" s="15" t="inlineStr">
        <is>
          <t>coal,iron,zinc,gold,crystal,obsidian,diamond,cat</t>
        </is>
      </c>
      <c r="P176" s="15" t="inlineStr">
        <is>
          <t>SET_RATE_PER_10</t>
        </is>
      </c>
      <c r="Q176" s="15" t="n">
        <v>0.04</v>
      </c>
      <c r="R176" s="15" t="inlineStr">
        <is>
          <t>全部矿物每10块熔岩 +4%，最多计算10组。</t>
        </is>
      </c>
      <c r="S176" s="15" t="inlineStr">
        <is>
          <t>全部矿物每10块熔岩 +4%，最多计算10组。</t>
        </is>
      </c>
      <c r="T176" s="15" t="inlineStr">
        <is>
          <t>大数阶段</t>
        </is>
      </c>
      <c r="U176" s="15" t="b">
        <v>0</v>
      </c>
      <c r="V176" s="15" t="inlineStr">
        <is>
          <t>协同按当前已放置且与中心连通的地块数计算；库存不计入。倍率组数上限10。</t>
        </is>
      </c>
      <c r="W176" s="15" t="inlineStr">
        <is>
          <t>本级增量系数=10%；假设EligibleCPS=2.57B；cost=ΔCPS×1200s=310B。</t>
        </is>
      </c>
    </row>
    <row r="177" ht="36" customHeight="1">
      <c r="A177" s="15" t="inlineStr">
        <is>
          <t>terrain_push_1</t>
        </is>
      </c>
      <c r="B177" s="15" t="inlineStr">
        <is>
          <t>传送带协同 I</t>
        </is>
      </c>
      <c r="C177" s="35" t="inlineStr">
        <is>
          <t>地块协同</t>
        </is>
      </c>
      <c r="D177" s="15" t="inlineStr">
        <is>
          <t>push</t>
        </is>
      </c>
      <c r="E177" s="15" t="n">
        <v>1</v>
      </c>
      <c r="F177" s="15" t="inlineStr">
        <is>
          <t>unlock_tile_push,unlock_coal</t>
        </is>
      </c>
      <c r="G177" s="15" t="inlineStr"/>
      <c r="H177" s="15" t="inlineStr">
        <is>
          <t>placed_push ≥ 10</t>
        </is>
      </c>
      <c r="I177" s="15" t="inlineStr">
        <is>
          <t>金币</t>
        </is>
      </c>
      <c r="J177" s="20" t="n">
        <v>300000</v>
      </c>
      <c r="K177" s="15" t="inlineStr">
        <is>
          <t>300K</t>
        </is>
      </c>
      <c r="L177" s="32" t="n">
        <v>3</v>
      </c>
      <c r="M177" s="15" t="n">
        <v>5</v>
      </c>
      <c r="N177" s="15" t="inlineStr">
        <is>
          <t>TERRAIN_BUILDING_SYNERGY</t>
        </is>
      </c>
      <c r="O177" s="15" t="inlineStr">
        <is>
          <t>coal,iron,zinc,gold</t>
        </is>
      </c>
      <c r="P177" s="15" t="inlineStr">
        <is>
          <t>SET_RATE_PER_10</t>
        </is>
      </c>
      <c r="Q177" s="15" t="n">
        <v>0.03</v>
      </c>
      <c r="R177" s="15" t="inlineStr">
        <is>
          <t>目标组(coal,iron,zinc,gold)每10块传送带 +3%，最多计算10组。</t>
        </is>
      </c>
      <c r="S177" s="15" t="inlineStr">
        <is>
          <t>目标组(coal,iron,zinc,gold)每10块传送带 +3%，最多计算10组。</t>
        </is>
      </c>
      <c r="T177" s="15" t="inlineStr">
        <is>
          <t>本轮核心</t>
        </is>
      </c>
      <c r="U177" s="15" t="b">
        <v>0</v>
      </c>
      <c r="V177" s="15" t="inlineStr">
        <is>
          <t>协同按当前已放置且与中心连通的地块数计算；库存不计入。倍率组数上限10。</t>
        </is>
      </c>
      <c r="W177" s="15" t="inlineStr">
        <is>
          <t>本级增量系数=3%；假设EligibleCPS=16.8K；cost=ΔCPS×600s=300K。</t>
        </is>
      </c>
    </row>
    <row r="178" ht="36" customHeight="1">
      <c r="A178" s="15" t="inlineStr">
        <is>
          <t>terrain_push_2</t>
        </is>
      </c>
      <c r="B178" s="15" t="inlineStr">
        <is>
          <t>传送带协同 II</t>
        </is>
      </c>
      <c r="C178" s="35" t="inlineStr">
        <is>
          <t>地块协同</t>
        </is>
      </c>
      <c r="D178" s="15" t="inlineStr">
        <is>
          <t>push</t>
        </is>
      </c>
      <c r="E178" s="15" t="n">
        <v>2</v>
      </c>
      <c r="F178" s="15" t="inlineStr">
        <is>
          <t>terrain_push_1</t>
        </is>
      </c>
      <c r="G178" s="15" t="inlineStr"/>
      <c r="H178" s="15" t="inlineStr">
        <is>
          <t>placed_push ≥ 50</t>
        </is>
      </c>
      <c r="I178" s="15" t="inlineStr">
        <is>
          <t>金币</t>
        </is>
      </c>
      <c r="J178" s="20" t="n">
        <v>30000000</v>
      </c>
      <c r="K178" s="15" t="inlineStr">
        <is>
          <t>30M</t>
        </is>
      </c>
      <c r="L178" s="32" t="n">
        <v>3</v>
      </c>
      <c r="M178" s="15" t="n">
        <v>7</v>
      </c>
      <c r="N178" s="15" t="inlineStr">
        <is>
          <t>TERRAIN_BUILDING_SYNERGY</t>
        </is>
      </c>
      <c r="O178" s="15" t="inlineStr">
        <is>
          <t>coal,iron,zinc,gold</t>
        </is>
      </c>
      <c r="P178" s="15" t="inlineStr">
        <is>
          <t>SET_RATE_PER_10</t>
        </is>
      </c>
      <c r="Q178" s="15" t="n">
        <v>0.05</v>
      </c>
      <c r="R178" s="15" t="inlineStr">
        <is>
          <t>目标组(coal,iron,zinc,gold)每10块传送带 +5%，最多计算10组。</t>
        </is>
      </c>
      <c r="S178" s="15" t="inlineStr">
        <is>
          <t>目标组(coal,iron,zinc,gold)每10块传送带 +5%，最多计算10组。</t>
        </is>
      </c>
      <c r="T178" s="15" t="inlineStr">
        <is>
          <t>升华扩展 I</t>
        </is>
      </c>
      <c r="U178" s="15" t="b">
        <v>0</v>
      </c>
      <c r="V178" s="15" t="inlineStr">
        <is>
          <t>协同按当前已放置且与中心连通的地块数计算；库存不计入。倍率组数上限10。</t>
        </is>
      </c>
      <c r="W178" s="15" t="inlineStr">
        <is>
          <t>本级增量系数=10%；假设EligibleCPS=337K；cost=ΔCPS×900s=30M。</t>
        </is>
      </c>
    </row>
    <row r="179" ht="36" customHeight="1">
      <c r="A179" s="15" t="inlineStr">
        <is>
          <t>terrain_push_3</t>
        </is>
      </c>
      <c r="B179" s="15" t="inlineStr">
        <is>
          <t>传送带协同 III</t>
        </is>
      </c>
      <c r="C179" s="35" t="inlineStr">
        <is>
          <t>地块协同</t>
        </is>
      </c>
      <c r="D179" s="15" t="inlineStr">
        <is>
          <t>push</t>
        </is>
      </c>
      <c r="E179" s="15" t="n">
        <v>3</v>
      </c>
      <c r="F179" s="15" t="inlineStr">
        <is>
          <t>terrain_push_2</t>
        </is>
      </c>
      <c r="G179" s="15" t="inlineStr"/>
      <c r="H179" s="15" t="inlineStr">
        <is>
          <t>placed_push ≥ 100</t>
        </is>
      </c>
      <c r="I179" s="15" t="inlineStr">
        <is>
          <t>金币</t>
        </is>
      </c>
      <c r="J179" s="20" t="n">
        <v>650000000</v>
      </c>
      <c r="K179" s="15" t="inlineStr">
        <is>
          <t>650M</t>
        </is>
      </c>
      <c r="L179" s="32" t="n">
        <v>6.5</v>
      </c>
      <c r="M179" s="15" t="n">
        <v>8</v>
      </c>
      <c r="N179" s="15" t="inlineStr">
        <is>
          <t>TERRAIN_BUILDING_SYNERGY</t>
        </is>
      </c>
      <c r="O179" s="15" t="inlineStr">
        <is>
          <t>coal,iron,zinc,gold</t>
        </is>
      </c>
      <c r="P179" s="15" t="inlineStr">
        <is>
          <t>SET_RATE_PER_10</t>
        </is>
      </c>
      <c r="Q179" s="15" t="n">
        <v>0.07000000000000001</v>
      </c>
      <c r="R179" s="15" t="inlineStr">
        <is>
          <t>目标组(coal,iron,zinc,gold)每10块传送带 +7%，最多计算10组。</t>
        </is>
      </c>
      <c r="S179" s="15" t="inlineStr">
        <is>
          <t>目标组(coal,iron,zinc,gold)每10块传送带 +7%，最多计算10组。</t>
        </is>
      </c>
      <c r="T179" s="15" t="inlineStr">
        <is>
          <t>大数阶段</t>
        </is>
      </c>
      <c r="U179" s="15" t="b">
        <v>0</v>
      </c>
      <c r="V179" s="15" t="inlineStr">
        <is>
          <t>协同按当前已放置且与中心连通的地块数计算；库存不计入。倍率组数上限10。</t>
        </is>
      </c>
      <c r="W179" s="15" t="inlineStr">
        <is>
          <t>本级增量系数=20%；假设EligibleCPS=2.69M；cost=ΔCPS×1200s=650M。</t>
        </is>
      </c>
    </row>
    <row r="180" ht="36" customHeight="1">
      <c r="A180" s="15" t="inlineStr">
        <is>
          <t>terrain_pull_1</t>
        </is>
      </c>
      <c r="B180" s="15" t="inlineStr">
        <is>
          <t>磁吸协同 I</t>
        </is>
      </c>
      <c r="C180" s="35" t="inlineStr">
        <is>
          <t>地块协同</t>
        </is>
      </c>
      <c r="D180" s="15" t="inlineStr">
        <is>
          <t>pull</t>
        </is>
      </c>
      <c r="E180" s="15" t="n">
        <v>1</v>
      </c>
      <c r="F180" s="15" t="inlineStr">
        <is>
          <t>unlock_tile_pull,unlock_crystal</t>
        </is>
      </c>
      <c r="G180" s="15" t="inlineStr"/>
      <c r="H180" s="15" t="inlineStr">
        <is>
          <t>placed_pull ≥ 10</t>
        </is>
      </c>
      <c r="I180" s="15" t="inlineStr">
        <is>
          <t>金币</t>
        </is>
      </c>
      <c r="J180" s="20" t="n">
        <v>290000000</v>
      </c>
      <c r="K180" s="15" t="inlineStr">
        <is>
          <t>290M</t>
        </is>
      </c>
      <c r="L180" s="32" t="n">
        <v>2.9</v>
      </c>
      <c r="M180" s="15" t="n">
        <v>8</v>
      </c>
      <c r="N180" s="15" t="inlineStr">
        <is>
          <t>TERRAIN_BUILDING_SYNERGY</t>
        </is>
      </c>
      <c r="O180" s="15" t="inlineStr">
        <is>
          <t>crystal,obsidian,diamond,cat</t>
        </is>
      </c>
      <c r="P180" s="15" t="inlineStr">
        <is>
          <t>SET_RATE_PER_10</t>
        </is>
      </c>
      <c r="Q180" s="15" t="n">
        <v>0.03</v>
      </c>
      <c r="R180" s="15" t="inlineStr">
        <is>
          <t>目标组(crystal,obsidian,diamond,cat)每10块磁吸 +3%，最多计算10组。</t>
        </is>
      </c>
      <c r="S180" s="15" t="inlineStr">
        <is>
          <t>目标组(crystal,obsidian,diamond,cat)每10块磁吸 +3%，最多计算10组。</t>
        </is>
      </c>
      <c r="T180" s="15" t="inlineStr">
        <is>
          <t>本轮核心</t>
        </is>
      </c>
      <c r="U180" s="15" t="b">
        <v>0</v>
      </c>
      <c r="V180" s="15" t="inlineStr">
        <is>
          <t>协同按当前已放置且与中心连通的地块数计算；库存不计入。倍率组数上限10。</t>
        </is>
      </c>
      <c r="W180" s="15" t="inlineStr">
        <is>
          <t>本级增量系数=3%；假设EligibleCPS=16M；cost=ΔCPS×600s=290M。</t>
        </is>
      </c>
    </row>
    <row r="181" ht="36" customHeight="1">
      <c r="A181" s="15" t="inlineStr">
        <is>
          <t>terrain_pull_2</t>
        </is>
      </c>
      <c r="B181" s="15" t="inlineStr">
        <is>
          <t>磁吸协同 II</t>
        </is>
      </c>
      <c r="C181" s="35" t="inlineStr">
        <is>
          <t>地块协同</t>
        </is>
      </c>
      <c r="D181" s="15" t="inlineStr">
        <is>
          <t>pull</t>
        </is>
      </c>
      <c r="E181" s="15" t="n">
        <v>2</v>
      </c>
      <c r="F181" s="15" t="inlineStr">
        <is>
          <t>terrain_pull_1</t>
        </is>
      </c>
      <c r="G181" s="15" t="inlineStr"/>
      <c r="H181" s="15" t="inlineStr">
        <is>
          <t>placed_pull ≥ 50</t>
        </is>
      </c>
      <c r="I181" s="15" t="inlineStr">
        <is>
          <t>金币</t>
        </is>
      </c>
      <c r="J181" s="20" t="n">
        <v>29000000000</v>
      </c>
      <c r="K181" s="15" t="inlineStr">
        <is>
          <t>29B</t>
        </is>
      </c>
      <c r="L181" s="32" t="n">
        <v>2.9</v>
      </c>
      <c r="M181" s="15" t="n">
        <v>10</v>
      </c>
      <c r="N181" s="15" t="inlineStr">
        <is>
          <t>TERRAIN_BUILDING_SYNERGY</t>
        </is>
      </c>
      <c r="O181" s="15" t="inlineStr">
        <is>
          <t>crystal,obsidian,diamond,cat</t>
        </is>
      </c>
      <c r="P181" s="15" t="inlineStr">
        <is>
          <t>SET_RATE_PER_10</t>
        </is>
      </c>
      <c r="Q181" s="15" t="n">
        <v>0.05</v>
      </c>
      <c r="R181" s="15" t="inlineStr">
        <is>
          <t>目标组(crystal,obsidian,diamond,cat)每10块磁吸 +5%，最多计算10组。</t>
        </is>
      </c>
      <c r="S181" s="15" t="inlineStr">
        <is>
          <t>目标组(crystal,obsidian,diamond,cat)每10块磁吸 +5%，最多计算10组。</t>
        </is>
      </c>
      <c r="T181" s="15" t="inlineStr">
        <is>
          <t>升华扩展 I</t>
        </is>
      </c>
      <c r="U181" s="15" t="b">
        <v>0</v>
      </c>
      <c r="V181" s="15" t="inlineStr">
        <is>
          <t>协同按当前已放置且与中心连通的地块数计算；库存不计入。倍率组数上限10。</t>
        </is>
      </c>
      <c r="W181" s="15" t="inlineStr">
        <is>
          <t>本级增量系数=10%；假设EligibleCPS=321M；cost=ΔCPS×900s=29B。</t>
        </is>
      </c>
    </row>
    <row r="182" ht="36" customHeight="1">
      <c r="A182" s="15" t="inlineStr">
        <is>
          <t>terrain_pull_3</t>
        </is>
      </c>
      <c r="B182" s="15" t="inlineStr">
        <is>
          <t>磁吸协同 III</t>
        </is>
      </c>
      <c r="C182" s="35" t="inlineStr">
        <is>
          <t>地块协同</t>
        </is>
      </c>
      <c r="D182" s="15" t="inlineStr">
        <is>
          <t>pull</t>
        </is>
      </c>
      <c r="E182" s="15" t="n">
        <v>3</v>
      </c>
      <c r="F182" s="15" t="inlineStr">
        <is>
          <t>terrain_pull_2</t>
        </is>
      </c>
      <c r="G182" s="15" t="inlineStr"/>
      <c r="H182" s="15" t="inlineStr">
        <is>
          <t>placed_pull ≥ 100</t>
        </is>
      </c>
      <c r="I182" s="15" t="inlineStr">
        <is>
          <t>金币</t>
        </is>
      </c>
      <c r="J182" s="20" t="n">
        <v>620000000000</v>
      </c>
      <c r="K182" s="15" t="inlineStr">
        <is>
          <t>620B</t>
        </is>
      </c>
      <c r="L182" s="32" t="n">
        <v>6.2</v>
      </c>
      <c r="M182" s="15" t="n">
        <v>11</v>
      </c>
      <c r="N182" s="15" t="inlineStr">
        <is>
          <t>TERRAIN_BUILDING_SYNERGY</t>
        </is>
      </c>
      <c r="O182" s="15" t="inlineStr">
        <is>
          <t>crystal,obsidian,diamond,cat</t>
        </is>
      </c>
      <c r="P182" s="15" t="inlineStr">
        <is>
          <t>SET_RATE_PER_10</t>
        </is>
      </c>
      <c r="Q182" s="15" t="n">
        <v>0.07000000000000001</v>
      </c>
      <c r="R182" s="15" t="inlineStr">
        <is>
          <t>目标组(crystal,obsidian,diamond,cat)每10块磁吸 +7%，最多计算10组。</t>
        </is>
      </c>
      <c r="S182" s="15" t="inlineStr">
        <is>
          <t>目标组(crystal,obsidian,diamond,cat)每10块磁吸 +7%，最多计算10组。</t>
        </is>
      </c>
      <c r="T182" s="15" t="inlineStr">
        <is>
          <t>大数阶段</t>
        </is>
      </c>
      <c r="U182" s="15" t="b">
        <v>0</v>
      </c>
      <c r="V182" s="15" t="inlineStr">
        <is>
          <t>协同按当前已放置且与中心连通的地块数计算；库存不计入。倍率组数上限10。</t>
        </is>
      </c>
      <c r="W182" s="15" t="inlineStr">
        <is>
          <t>本级增量系数=20%；假设EligibleCPS=2.57B；cost=ΔCPS×1200s=620B。</t>
        </is>
      </c>
    </row>
    <row r="183" ht="36" customHeight="1">
      <c r="A183" s="15" t="inlineStr">
        <is>
          <t>terrain_volcano_stable_1</t>
        </is>
      </c>
      <c r="B183" s="15" t="inlineStr">
        <is>
          <t>稳定火山协同 I</t>
        </is>
      </c>
      <c r="C183" s="35" t="inlineStr">
        <is>
          <t>地块协同</t>
        </is>
      </c>
      <c r="D183" s="15" t="inlineStr">
        <is>
          <t>volcano_stable</t>
        </is>
      </c>
      <c r="E183" s="15" t="n">
        <v>1</v>
      </c>
      <c r="F183" s="15" t="inlineStr">
        <is>
          <t>unlock_tile_volcano_stable,unlock_obsidian</t>
        </is>
      </c>
      <c r="G183" s="15" t="inlineStr"/>
      <c r="H183" s="15" t="inlineStr">
        <is>
          <t>placed_volcano_stable ≥ 10</t>
        </is>
      </c>
      <c r="I183" s="15" t="inlineStr">
        <is>
          <t>金币</t>
        </is>
      </c>
      <c r="J183" s="20" t="n">
        <v>25000000</v>
      </c>
      <c r="K183" s="15" t="inlineStr">
        <is>
          <t>25M</t>
        </is>
      </c>
      <c r="L183" s="32" t="n">
        <v>2.5</v>
      </c>
      <c r="M183" s="15" t="n">
        <v>7</v>
      </c>
      <c r="N183" s="15" t="inlineStr">
        <is>
          <t>TERRAIN_BUILDING_SYNERGY</t>
        </is>
      </c>
      <c r="O183" s="15" t="inlineStr">
        <is>
          <t>obsidian</t>
        </is>
      </c>
      <c r="P183" s="15" t="inlineStr">
        <is>
          <t>SET_RATE_PER_10</t>
        </is>
      </c>
      <c r="Q183" s="15" t="n">
        <v>0.1</v>
      </c>
      <c r="R183" s="15" t="inlineStr">
        <is>
          <t>黑曜石每10块稳定火山 +10%，最多计算10组。</t>
        </is>
      </c>
      <c r="S183" s="15" t="inlineStr">
        <is>
          <t>黑曜石每10块稳定火山 +10%，最多计算10组。</t>
        </is>
      </c>
      <c r="T183" s="15" t="inlineStr">
        <is>
          <t>本轮核心</t>
        </is>
      </c>
      <c r="U183" s="15" t="b">
        <v>0</v>
      </c>
      <c r="V183" s="15" t="inlineStr">
        <is>
          <t>协同按当前已放置且与中心连通的地块数计算；库存不计入。倍率组数上限10。</t>
        </is>
      </c>
      <c r="W183" s="15" t="inlineStr">
        <is>
          <t>本级增量系数=10%；假设EligibleCPS=420K；cost=ΔCPS×600s=25M。</t>
        </is>
      </c>
    </row>
    <row r="184" ht="36" customHeight="1">
      <c r="A184" s="15" t="inlineStr">
        <is>
          <t>terrain_volcano_stable_2</t>
        </is>
      </c>
      <c r="B184" s="15" t="inlineStr">
        <is>
          <t>稳定火山协同 II</t>
        </is>
      </c>
      <c r="C184" s="35" t="inlineStr">
        <is>
          <t>地块协同</t>
        </is>
      </c>
      <c r="D184" s="15" t="inlineStr">
        <is>
          <t>volcano_stable</t>
        </is>
      </c>
      <c r="E184" s="15" t="n">
        <v>2</v>
      </c>
      <c r="F184" s="15" t="inlineStr">
        <is>
          <t>terrain_volcano_stable_1</t>
        </is>
      </c>
      <c r="G184" s="15" t="inlineStr"/>
      <c r="H184" s="15" t="inlineStr">
        <is>
          <t>placed_volcano_stable ≥ 50</t>
        </is>
      </c>
      <c r="I184" s="15" t="inlineStr">
        <is>
          <t>金币</t>
        </is>
      </c>
      <c r="J184" s="20" t="n">
        <v>1900000000</v>
      </c>
      <c r="K184" s="15" t="inlineStr">
        <is>
          <t>1.9B</t>
        </is>
      </c>
      <c r="L184" s="32" t="n">
        <v>1.9</v>
      </c>
      <c r="M184" s="15" t="n">
        <v>9</v>
      </c>
      <c r="N184" s="15" t="inlineStr">
        <is>
          <t>TERRAIN_BUILDING_SYNERGY</t>
        </is>
      </c>
      <c r="O184" s="15" t="inlineStr">
        <is>
          <t>obsidian</t>
        </is>
      </c>
      <c r="P184" s="15" t="inlineStr">
        <is>
          <t>SET_RATE_PER_10</t>
        </is>
      </c>
      <c r="Q184" s="15" t="n">
        <v>0.15</v>
      </c>
      <c r="R184" s="15" t="inlineStr">
        <is>
          <t>黑曜石每10块稳定火山 +15%，最多计算10组。</t>
        </is>
      </c>
      <c r="S184" s="15" t="inlineStr">
        <is>
          <t>黑曜石每10块稳定火山 +15%，最多计算10组。</t>
        </is>
      </c>
      <c r="T184" s="15" t="inlineStr">
        <is>
          <t>升华扩展 I</t>
        </is>
      </c>
      <c r="U184" s="15" t="b">
        <v>0</v>
      </c>
      <c r="V184" s="15" t="inlineStr">
        <is>
          <t>协同按当前已放置且与中心连通的地块数计算；库存不计入。倍率组数上限10。</t>
        </is>
      </c>
      <c r="W184" s="15" t="inlineStr">
        <is>
          <t>本级增量系数=25%；假设EligibleCPS=8.4M；cost=ΔCPS×900s=1.9B。</t>
        </is>
      </c>
    </row>
    <row r="185" ht="36" customHeight="1">
      <c r="A185" s="15" t="inlineStr">
        <is>
          <t>terrain_volcano_stable_3</t>
        </is>
      </c>
      <c r="B185" s="15" t="inlineStr">
        <is>
          <t>稳定火山协同 III</t>
        </is>
      </c>
      <c r="C185" s="35" t="inlineStr">
        <is>
          <t>地块协同</t>
        </is>
      </c>
      <c r="D185" s="15" t="inlineStr">
        <is>
          <t>volcano_stable</t>
        </is>
      </c>
      <c r="E185" s="15" t="n">
        <v>3</v>
      </c>
      <c r="F185" s="15" t="inlineStr">
        <is>
          <t>terrain_volcano_stable_2</t>
        </is>
      </c>
      <c r="G185" s="15" t="inlineStr"/>
      <c r="H185" s="15" t="inlineStr">
        <is>
          <t>placed_volcano_stable ≥ 100</t>
        </is>
      </c>
      <c r="I185" s="15" t="inlineStr">
        <is>
          <t>金币</t>
        </is>
      </c>
      <c r="J185" s="20" t="n">
        <v>40000000000</v>
      </c>
      <c r="K185" s="15" t="inlineStr">
        <is>
          <t>40B</t>
        </is>
      </c>
      <c r="L185" s="32" t="n">
        <v>4</v>
      </c>
      <c r="M185" s="15" t="n">
        <v>10</v>
      </c>
      <c r="N185" s="15" t="inlineStr">
        <is>
          <t>TERRAIN_BUILDING_SYNERGY</t>
        </is>
      </c>
      <c r="O185" s="15" t="inlineStr">
        <is>
          <t>obsidian</t>
        </is>
      </c>
      <c r="P185" s="15" t="inlineStr">
        <is>
          <t>SET_RATE_PER_10</t>
        </is>
      </c>
      <c r="Q185" s="15" t="n">
        <v>0.2</v>
      </c>
      <c r="R185" s="15" t="inlineStr">
        <is>
          <t>黑曜石每10块稳定火山 +20%，最多计算10组。</t>
        </is>
      </c>
      <c r="S185" s="15" t="inlineStr">
        <is>
          <t>黑曜石每10块稳定火山 +20%，最多计算10组。</t>
        </is>
      </c>
      <c r="T185" s="15" t="inlineStr">
        <is>
          <t>大数阶段</t>
        </is>
      </c>
      <c r="U185" s="15" t="b">
        <v>0</v>
      </c>
      <c r="V185" s="15" t="inlineStr">
        <is>
          <t>协同按当前已放置且与中心连通的地块数计算；库存不计入。倍率组数上限10。</t>
        </is>
      </c>
      <c r="W185" s="15" t="inlineStr">
        <is>
          <t>本级增量系数=50%；假设EligibleCPS=67.2M；cost=ΔCPS×1200s=40B。</t>
        </is>
      </c>
    </row>
    <row r="186" ht="36" customHeight="1">
      <c r="A186" s="15" t="inlineStr">
        <is>
          <t>terrain_upgrade_1</t>
        </is>
      </c>
      <c r="B186" s="15" t="inlineStr">
        <is>
          <t>升级台协同 I</t>
        </is>
      </c>
      <c r="C186" s="35" t="inlineStr">
        <is>
          <t>地块协同</t>
        </is>
      </c>
      <c r="D186" s="15" t="inlineStr">
        <is>
          <t>upgrade</t>
        </is>
      </c>
      <c r="E186" s="15" t="n">
        <v>1</v>
      </c>
      <c r="F186" s="15" t="inlineStr">
        <is>
          <t>unlock_tile_upgrade,unlock_cat</t>
        </is>
      </c>
      <c r="G186" s="15" t="inlineStr"/>
      <c r="H186" s="15" t="inlineStr">
        <is>
          <t>placed_upgrade ≥ 10</t>
        </is>
      </c>
      <c r="I186" s="15" t="inlineStr">
        <is>
          <t>金币</t>
        </is>
      </c>
      <c r="J186" s="20" t="n">
        <v>790000000</v>
      </c>
      <c r="K186" s="15" t="inlineStr">
        <is>
          <t>790M</t>
        </is>
      </c>
      <c r="L186" s="32" t="n">
        <v>7.9</v>
      </c>
      <c r="M186" s="15" t="n">
        <v>8</v>
      </c>
      <c r="N186" s="15" t="inlineStr">
        <is>
          <t>TERRAIN_BUILDING_SYNERGY</t>
        </is>
      </c>
      <c r="O186" s="15" t="inlineStr">
        <is>
          <t>cat</t>
        </is>
      </c>
      <c r="P186" s="15" t="inlineStr">
        <is>
          <t>SET_RATE_PER_10</t>
        </is>
      </c>
      <c r="Q186" s="15" t="n">
        <v>0.1</v>
      </c>
      <c r="R186" s="15" t="inlineStr">
        <is>
          <t>猫矿每10块升级台 +10%，最多计算10组。</t>
        </is>
      </c>
      <c r="S186" s="15" t="inlineStr">
        <is>
          <t>猫矿每10块升级台 +10%，最多计算10组。</t>
        </is>
      </c>
      <c r="T186" s="15" t="inlineStr">
        <is>
          <t>本轮核心</t>
        </is>
      </c>
      <c r="U186" s="15" t="b">
        <v>0</v>
      </c>
      <c r="V186" s="15" t="inlineStr">
        <is>
          <t>协同按当前已放置且与中心连通的地块数计算；库存不计入。倍率组数上限10。</t>
        </is>
      </c>
      <c r="W186" s="15" t="inlineStr">
        <is>
          <t>本级增量系数=10%；假设EligibleCPS=13.2M；cost=ΔCPS×600s=790M。</t>
        </is>
      </c>
    </row>
    <row r="187" ht="36" customHeight="1">
      <c r="A187" s="15" t="inlineStr">
        <is>
          <t>terrain_upgrade_2</t>
        </is>
      </c>
      <c r="B187" s="15" t="inlineStr">
        <is>
          <t>升级台协同 II</t>
        </is>
      </c>
      <c r="C187" s="35" t="inlineStr">
        <is>
          <t>地块协同</t>
        </is>
      </c>
      <c r="D187" s="15" t="inlineStr">
        <is>
          <t>upgrade</t>
        </is>
      </c>
      <c r="E187" s="15" t="n">
        <v>2</v>
      </c>
      <c r="F187" s="15" t="inlineStr">
        <is>
          <t>terrain_upgrade_1</t>
        </is>
      </c>
      <c r="G187" s="15" t="inlineStr"/>
      <c r="H187" s="15" t="inlineStr">
        <is>
          <t>placed_upgrade ≥ 50</t>
        </is>
      </c>
      <c r="I187" s="15" t="inlineStr">
        <is>
          <t>金币</t>
        </is>
      </c>
      <c r="J187" s="20" t="n">
        <v>59000000000</v>
      </c>
      <c r="K187" s="15" t="inlineStr">
        <is>
          <t>59B</t>
        </is>
      </c>
      <c r="L187" s="32" t="n">
        <v>5.9</v>
      </c>
      <c r="M187" s="15" t="n">
        <v>10</v>
      </c>
      <c r="N187" s="15" t="inlineStr">
        <is>
          <t>TERRAIN_BUILDING_SYNERGY</t>
        </is>
      </c>
      <c r="O187" s="15" t="inlineStr">
        <is>
          <t>cat</t>
        </is>
      </c>
      <c r="P187" s="15" t="inlineStr">
        <is>
          <t>SET_RATE_PER_10</t>
        </is>
      </c>
      <c r="Q187" s="15" t="n">
        <v>0.15</v>
      </c>
      <c r="R187" s="15" t="inlineStr">
        <is>
          <t>猫矿每10块升级台 +15%，最多计算10组。</t>
        </is>
      </c>
      <c r="S187" s="15" t="inlineStr">
        <is>
          <t>猫矿每10块升级台 +15%，最多计算10组。</t>
        </is>
      </c>
      <c r="T187" s="15" t="inlineStr">
        <is>
          <t>升华扩展 I</t>
        </is>
      </c>
      <c r="U187" s="15" t="b">
        <v>0</v>
      </c>
      <c r="V187" s="15" t="inlineStr">
        <is>
          <t>协同按当前已放置且与中心连通的地块数计算；库存不计入。倍率组数上限10。</t>
        </is>
      </c>
      <c r="W187" s="15" t="inlineStr">
        <is>
          <t>本级增量系数=25%；假设EligibleCPS=264M；cost=ΔCPS×900s=59B。</t>
        </is>
      </c>
    </row>
    <row r="188" ht="36" customHeight="1">
      <c r="A188" s="15" t="inlineStr">
        <is>
          <t>terrain_upgrade_3</t>
        </is>
      </c>
      <c r="B188" s="15" t="inlineStr">
        <is>
          <t>升级台协同 III</t>
        </is>
      </c>
      <c r="C188" s="35" t="inlineStr">
        <is>
          <t>地块协同</t>
        </is>
      </c>
      <c r="D188" s="15" t="inlineStr">
        <is>
          <t>upgrade</t>
        </is>
      </c>
      <c r="E188" s="15" t="n">
        <v>3</v>
      </c>
      <c r="F188" s="15" t="inlineStr">
        <is>
          <t>terrain_upgrade_2</t>
        </is>
      </c>
      <c r="G188" s="15" t="inlineStr"/>
      <c r="H188" s="15" t="inlineStr">
        <is>
          <t>placed_upgrade ≥ 100</t>
        </is>
      </c>
      <c r="I188" s="15" t="inlineStr">
        <is>
          <t>金币</t>
        </is>
      </c>
      <c r="J188" s="20" t="n">
        <v>1300000000000</v>
      </c>
      <c r="K188" s="15" t="inlineStr">
        <is>
          <t>1.3T</t>
        </is>
      </c>
      <c r="L188" s="32" t="n">
        <v>1.3</v>
      </c>
      <c r="M188" s="15" t="n">
        <v>12</v>
      </c>
      <c r="N188" s="15" t="inlineStr">
        <is>
          <t>TERRAIN_BUILDING_SYNERGY</t>
        </is>
      </c>
      <c r="O188" s="15" t="inlineStr">
        <is>
          <t>cat</t>
        </is>
      </c>
      <c r="P188" s="15" t="inlineStr">
        <is>
          <t>SET_RATE_PER_10</t>
        </is>
      </c>
      <c r="Q188" s="15" t="n">
        <v>0.2</v>
      </c>
      <c r="R188" s="15" t="inlineStr">
        <is>
          <t>猫矿每10块升级台 +20%，最多计算10组。</t>
        </is>
      </c>
      <c r="S188" s="15" t="inlineStr">
        <is>
          <t>猫矿每10块升级台 +20%，最多计算10组。</t>
        </is>
      </c>
      <c r="T188" s="15" t="inlineStr">
        <is>
          <t>大数阶段</t>
        </is>
      </c>
      <c r="U188" s="15" t="b">
        <v>0</v>
      </c>
      <c r="V188" s="15" t="inlineStr">
        <is>
          <t>协同按当前已放置且与中心连通的地块数计算；库存不计入。倍率组数上限10。</t>
        </is>
      </c>
      <c r="W188" s="15" t="inlineStr">
        <is>
          <t>本级增量系数=50%；假设EligibleCPS=2.11B；cost=ΔCPS×1200s=1.3T。</t>
        </is>
      </c>
    </row>
    <row r="189" ht="36" customHeight="1">
      <c r="A189" s="15" t="inlineStr">
        <is>
          <t>terrain_rarity_1</t>
        </is>
      </c>
      <c r="B189" s="15" t="inlineStr">
        <is>
          <t>稀有矿脉协同 I</t>
        </is>
      </c>
      <c r="C189" s="35" t="inlineStr">
        <is>
          <t>地块协同</t>
        </is>
      </c>
      <c r="D189" s="15" t="inlineStr">
        <is>
          <t>rarity</t>
        </is>
      </c>
      <c r="E189" s="15" t="n">
        <v>1</v>
      </c>
      <c r="F189" s="15" t="inlineStr">
        <is>
          <t>unlock_tile_rarity,unlock_diamond</t>
        </is>
      </c>
      <c r="G189" s="15" t="inlineStr"/>
      <c r="H189" s="15" t="inlineStr">
        <is>
          <t>placed_rarity ≥ 10</t>
        </is>
      </c>
      <c r="I189" s="15" t="inlineStr">
        <is>
          <t>金币</t>
        </is>
      </c>
      <c r="J189" s="20" t="n">
        <v>140000000</v>
      </c>
      <c r="K189" s="15" t="inlineStr">
        <is>
          <t>140M</t>
        </is>
      </c>
      <c r="L189" s="32" t="n">
        <v>1.4</v>
      </c>
      <c r="M189" s="15" t="n">
        <v>8</v>
      </c>
      <c r="N189" s="15" t="inlineStr">
        <is>
          <t>TERRAIN_BUILDING_SYNERGY</t>
        </is>
      </c>
      <c r="O189" s="15" t="inlineStr">
        <is>
          <t>diamond</t>
        </is>
      </c>
      <c r="P189" s="15" t="inlineStr">
        <is>
          <t>SET_RATE_PER_10</t>
        </is>
      </c>
      <c r="Q189" s="15" t="n">
        <v>0.1</v>
      </c>
      <c r="R189" s="15" t="inlineStr">
        <is>
          <t>钻石矿每10块稀有矿脉 +10%，最多计算10组。</t>
        </is>
      </c>
      <c r="S189" s="15" t="inlineStr">
        <is>
          <t>钻石矿每10块稀有矿脉 +10%，最多计算10组。</t>
        </is>
      </c>
      <c r="T189" s="15" t="inlineStr">
        <is>
          <t>本轮核心</t>
        </is>
      </c>
      <c r="U189" s="15" t="b">
        <v>0</v>
      </c>
      <c r="V189" s="15" t="inlineStr">
        <is>
          <t>协同按当前已放置且与中心连通的地块数计算；库存不计入。倍率组数上限10。</t>
        </is>
      </c>
      <c r="W189" s="15" t="inlineStr">
        <is>
          <t>本级增量系数=10%；假设EligibleCPS=2.34M；cost=ΔCPS×600s=140M。</t>
        </is>
      </c>
    </row>
    <row r="190" ht="36" customHeight="1">
      <c r="A190" s="15" t="inlineStr">
        <is>
          <t>terrain_rarity_2</t>
        </is>
      </c>
      <c r="B190" s="15" t="inlineStr">
        <is>
          <t>稀有矿脉协同 II</t>
        </is>
      </c>
      <c r="C190" s="35" t="inlineStr">
        <is>
          <t>地块协同</t>
        </is>
      </c>
      <c r="D190" s="15" t="inlineStr">
        <is>
          <t>rarity</t>
        </is>
      </c>
      <c r="E190" s="15" t="n">
        <v>2</v>
      </c>
      <c r="F190" s="15" t="inlineStr">
        <is>
          <t>terrain_rarity_1</t>
        </is>
      </c>
      <c r="G190" s="15" t="inlineStr"/>
      <c r="H190" s="15" t="inlineStr">
        <is>
          <t>placed_rarity ≥ 50</t>
        </is>
      </c>
      <c r="I190" s="15" t="inlineStr">
        <is>
          <t>金币</t>
        </is>
      </c>
      <c r="J190" s="20" t="n">
        <v>11000000000</v>
      </c>
      <c r="K190" s="15" t="inlineStr">
        <is>
          <t>11B</t>
        </is>
      </c>
      <c r="L190" s="32" t="n">
        <v>1.1</v>
      </c>
      <c r="M190" s="15" t="n">
        <v>10</v>
      </c>
      <c r="N190" s="15" t="inlineStr">
        <is>
          <t>TERRAIN_BUILDING_SYNERGY</t>
        </is>
      </c>
      <c r="O190" s="15" t="inlineStr">
        <is>
          <t>diamond</t>
        </is>
      </c>
      <c r="P190" s="15" t="inlineStr">
        <is>
          <t>SET_RATE_PER_10</t>
        </is>
      </c>
      <c r="Q190" s="15" t="n">
        <v>0.15</v>
      </c>
      <c r="R190" s="15" t="inlineStr">
        <is>
          <t>钻石矿每10块稀有矿脉 +15%，最多计算10组。</t>
        </is>
      </c>
      <c r="S190" s="15" t="inlineStr">
        <is>
          <t>钻石矿每10块稀有矿脉 +15%，最多计算10组。</t>
        </is>
      </c>
      <c r="T190" s="15" t="inlineStr">
        <is>
          <t>升华扩展 I</t>
        </is>
      </c>
      <c r="U190" s="15" t="b">
        <v>0</v>
      </c>
      <c r="V190" s="15" t="inlineStr">
        <is>
          <t>协同按当前已放置且与中心连通的地块数计算；库存不计入。倍率组数上限10。</t>
        </is>
      </c>
      <c r="W190" s="15" t="inlineStr">
        <is>
          <t>本级增量系数=25%；假设EligibleCPS=46.8M；cost=ΔCPS×900s=11B。</t>
        </is>
      </c>
    </row>
    <row r="191" ht="36" customHeight="1">
      <c r="A191" s="15" t="inlineStr">
        <is>
          <t>terrain_rarity_3</t>
        </is>
      </c>
      <c r="B191" s="15" t="inlineStr">
        <is>
          <t>稀有矿脉协同 III</t>
        </is>
      </c>
      <c r="C191" s="35" t="inlineStr">
        <is>
          <t>地块协同</t>
        </is>
      </c>
      <c r="D191" s="15" t="inlineStr">
        <is>
          <t>rarity</t>
        </is>
      </c>
      <c r="E191" s="15" t="n">
        <v>3</v>
      </c>
      <c r="F191" s="15" t="inlineStr">
        <is>
          <t>terrain_rarity_2</t>
        </is>
      </c>
      <c r="G191" s="15" t="inlineStr"/>
      <c r="H191" s="15" t="inlineStr">
        <is>
          <t>placed_rarity ≥ 100</t>
        </is>
      </c>
      <c r="I191" s="15" t="inlineStr">
        <is>
          <t>金币</t>
        </is>
      </c>
      <c r="J191" s="20" t="n">
        <v>220000000000</v>
      </c>
      <c r="K191" s="15" t="inlineStr">
        <is>
          <t>220B</t>
        </is>
      </c>
      <c r="L191" s="32" t="n">
        <v>2.2</v>
      </c>
      <c r="M191" s="15" t="n">
        <v>11</v>
      </c>
      <c r="N191" s="15" t="inlineStr">
        <is>
          <t>TERRAIN_BUILDING_SYNERGY</t>
        </is>
      </c>
      <c r="O191" s="15" t="inlineStr">
        <is>
          <t>diamond</t>
        </is>
      </c>
      <c r="P191" s="15" t="inlineStr">
        <is>
          <t>SET_RATE_PER_10</t>
        </is>
      </c>
      <c r="Q191" s="15" t="n">
        <v>0.2</v>
      </c>
      <c r="R191" s="15" t="inlineStr">
        <is>
          <t>钻石矿每10块稀有矿脉 +20%，最多计算10组。</t>
        </is>
      </c>
      <c r="S191" s="15" t="inlineStr">
        <is>
          <t>钻石矿每10块稀有矿脉 +20%，最多计算10组。</t>
        </is>
      </c>
      <c r="T191" s="15" t="inlineStr">
        <is>
          <t>大数阶段</t>
        </is>
      </c>
      <c r="U191" s="15" t="b">
        <v>0</v>
      </c>
      <c r="V191" s="15" t="inlineStr">
        <is>
          <t>协同按当前已放置且与中心连通的地块数计算；库存不计入。倍率组数上限10。</t>
        </is>
      </c>
      <c r="W191" s="15" t="inlineStr">
        <is>
          <t>本级增量系数=50%；假设EligibleCPS=374M；cost=ΔCPS×1200s=220B。</t>
        </is>
      </c>
    </row>
    <row r="192" ht="36" customHeight="1">
      <c r="A192" s="15" t="inlineStr">
        <is>
          <t>terrain_spawn_1</t>
        </is>
      </c>
      <c r="B192" s="15" t="inlineStr">
        <is>
          <t>水晶矿脉协同 I</t>
        </is>
      </c>
      <c r="C192" s="35" t="inlineStr">
        <is>
          <t>地块协同</t>
        </is>
      </c>
      <c r="D192" s="15" t="inlineStr">
        <is>
          <t>spawn</t>
        </is>
      </c>
      <c r="E192" s="15" t="n">
        <v>1</v>
      </c>
      <c r="F192" s="15" t="inlineStr">
        <is>
          <t>unlock_tile_spawn,unlock_crystal</t>
        </is>
      </c>
      <c r="G192" s="15" t="inlineStr"/>
      <c r="H192" s="15" t="inlineStr">
        <is>
          <t>placed_spawn ≥ 10</t>
        </is>
      </c>
      <c r="I192" s="15" t="inlineStr">
        <is>
          <t>金币</t>
        </is>
      </c>
      <c r="J192" s="20" t="n">
        <v>4700000</v>
      </c>
      <c r="K192" s="15" t="inlineStr">
        <is>
          <t>4.7M</t>
        </is>
      </c>
      <c r="L192" s="32" t="n">
        <v>4.7</v>
      </c>
      <c r="M192" s="15" t="n">
        <v>6</v>
      </c>
      <c r="N192" s="15" t="inlineStr">
        <is>
          <t>TERRAIN_BUILDING_SYNERGY</t>
        </is>
      </c>
      <c r="O192" s="15" t="inlineStr">
        <is>
          <t>crystal</t>
        </is>
      </c>
      <c r="P192" s="15" t="inlineStr">
        <is>
          <t>SET_RATE_PER_10</t>
        </is>
      </c>
      <c r="Q192" s="15" t="n">
        <v>0.1</v>
      </c>
      <c r="R192" s="15" t="inlineStr">
        <is>
          <t>水晶矿每10块水晶矿脉 +10%，最多计算10组。</t>
        </is>
      </c>
      <c r="S192" s="15" t="inlineStr">
        <is>
          <t>水晶矿每10块水晶矿脉 +10%，最多计算10组。</t>
        </is>
      </c>
      <c r="T192" s="15" t="inlineStr">
        <is>
          <t>本轮核心</t>
        </is>
      </c>
      <c r="U192" s="15" t="b">
        <v>0</v>
      </c>
      <c r="V192" s="15" t="inlineStr">
        <is>
          <t>协同按当前已放置且与中心连通的地块数计算；库存不计入。倍率组数上限10。</t>
        </is>
      </c>
      <c r="W192" s="15" t="inlineStr">
        <is>
          <t>本级增量系数=10%；假设EligibleCPS=78K；cost=ΔCPS×600s=4.7M。</t>
        </is>
      </c>
    </row>
    <row r="193" ht="36" customHeight="1">
      <c r="A193" s="15" t="inlineStr">
        <is>
          <t>terrain_spawn_2</t>
        </is>
      </c>
      <c r="B193" s="15" t="inlineStr">
        <is>
          <t>水晶矿脉协同 II</t>
        </is>
      </c>
      <c r="C193" s="35" t="inlineStr">
        <is>
          <t>地块协同</t>
        </is>
      </c>
      <c r="D193" s="15" t="inlineStr">
        <is>
          <t>spawn</t>
        </is>
      </c>
      <c r="E193" s="15" t="n">
        <v>2</v>
      </c>
      <c r="F193" s="15" t="inlineStr">
        <is>
          <t>terrain_spawn_1</t>
        </is>
      </c>
      <c r="G193" s="15" t="inlineStr"/>
      <c r="H193" s="15" t="inlineStr">
        <is>
          <t>placed_spawn ≥ 50</t>
        </is>
      </c>
      <c r="I193" s="15" t="inlineStr">
        <is>
          <t>金币</t>
        </is>
      </c>
      <c r="J193" s="20" t="n">
        <v>350000000</v>
      </c>
      <c r="K193" s="15" t="inlineStr">
        <is>
          <t>350M</t>
        </is>
      </c>
      <c r="L193" s="32" t="n">
        <v>3.5</v>
      </c>
      <c r="M193" s="15" t="n">
        <v>8</v>
      </c>
      <c r="N193" s="15" t="inlineStr">
        <is>
          <t>TERRAIN_BUILDING_SYNERGY</t>
        </is>
      </c>
      <c r="O193" s="15" t="inlineStr">
        <is>
          <t>crystal</t>
        </is>
      </c>
      <c r="P193" s="15" t="inlineStr">
        <is>
          <t>SET_RATE_PER_10</t>
        </is>
      </c>
      <c r="Q193" s="15" t="n">
        <v>0.15</v>
      </c>
      <c r="R193" s="15" t="inlineStr">
        <is>
          <t>水晶矿每10块水晶矿脉 +15%，最多计算10组。</t>
        </is>
      </c>
      <c r="S193" s="15" t="inlineStr">
        <is>
          <t>水晶矿每10块水晶矿脉 +15%，最多计算10组。</t>
        </is>
      </c>
      <c r="T193" s="15" t="inlineStr">
        <is>
          <t>升华扩展 I</t>
        </is>
      </c>
      <c r="U193" s="15" t="b">
        <v>0</v>
      </c>
      <c r="V193" s="15" t="inlineStr">
        <is>
          <t>协同按当前已放置且与中心连通的地块数计算；库存不计入。倍率组数上限10。</t>
        </is>
      </c>
      <c r="W193" s="15" t="inlineStr">
        <is>
          <t>本级增量系数=25%；假设EligibleCPS=1.56M；cost=ΔCPS×900s=350M。</t>
        </is>
      </c>
    </row>
    <row r="194" ht="36" customHeight="1">
      <c r="A194" s="15" t="inlineStr">
        <is>
          <t>terrain_spawn_3</t>
        </is>
      </c>
      <c r="B194" s="15" t="inlineStr">
        <is>
          <t>水晶矿脉协同 III</t>
        </is>
      </c>
      <c r="C194" s="35" t="inlineStr">
        <is>
          <t>地块协同</t>
        </is>
      </c>
      <c r="D194" s="15" t="inlineStr">
        <is>
          <t>spawn</t>
        </is>
      </c>
      <c r="E194" s="15" t="n">
        <v>3</v>
      </c>
      <c r="F194" s="15" t="inlineStr">
        <is>
          <t>terrain_spawn_2</t>
        </is>
      </c>
      <c r="G194" s="15" t="inlineStr"/>
      <c r="H194" s="15" t="inlineStr">
        <is>
          <t>placed_spawn ≥ 100</t>
        </is>
      </c>
      <c r="I194" s="15" t="inlineStr">
        <is>
          <t>金币</t>
        </is>
      </c>
      <c r="J194" s="20" t="n">
        <v>7500000000</v>
      </c>
      <c r="K194" s="15" t="inlineStr">
        <is>
          <t>7.5B</t>
        </is>
      </c>
      <c r="L194" s="32" t="n">
        <v>7.5</v>
      </c>
      <c r="M194" s="15" t="n">
        <v>9</v>
      </c>
      <c r="N194" s="15" t="inlineStr">
        <is>
          <t>TERRAIN_BUILDING_SYNERGY</t>
        </is>
      </c>
      <c r="O194" s="15" t="inlineStr">
        <is>
          <t>crystal</t>
        </is>
      </c>
      <c r="P194" s="15" t="inlineStr">
        <is>
          <t>SET_RATE_PER_10</t>
        </is>
      </c>
      <c r="Q194" s="15" t="n">
        <v>0.2</v>
      </c>
      <c r="R194" s="15" t="inlineStr">
        <is>
          <t>水晶矿每10块水晶矿脉 +20%，最多计算10组。</t>
        </is>
      </c>
      <c r="S194" s="15" t="inlineStr">
        <is>
          <t>水晶矿每10块水晶矿脉 +20%，最多计算10组。</t>
        </is>
      </c>
      <c r="T194" s="15" t="inlineStr">
        <is>
          <t>大数阶段</t>
        </is>
      </c>
      <c r="U194" s="15" t="b">
        <v>0</v>
      </c>
      <c r="V194" s="15" t="inlineStr">
        <is>
          <t>协同按当前已放置且与中心连通的地块数计算；库存不计入。倍率组数上限10。</t>
        </is>
      </c>
      <c r="W194" s="15" t="inlineStr">
        <is>
          <t>本级增量系数=50%；假设EligibleCPS=12.5M；cost=ΔCPS×1200s=7.5B。</t>
        </is>
      </c>
    </row>
  </sheetData>
  <autoFilter ref="A4:W194"/>
  <mergeCells count="2">
    <mergeCell ref="A2:W2"/>
    <mergeCell ref="A1:W1"/>
  </mergeCells>
  <conditionalFormatting sqref="U5:U194">
    <cfRule type="expression" priority="1" dxfId="0">
      <formula>U5=TRUE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showGridLines="0" zoomScale="85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</cols>
  <sheetData>
    <row r="1" ht="34" customHeight="1">
      <c r="A1" s="1" t="inlineStr">
        <is>
          <t>8 矿 × 15 层产能天赋总图</t>
        </is>
      </c>
    </row>
    <row r="2" ht="31" customHeight="1">
      <c r="A2" s="2" t="inlineStr">
        <is>
          <t>每个彩色格子都是一个独立按钮，点击可跳到 Talent_Nodes 实现行。</t>
        </is>
      </c>
    </row>
    <row r="4" ht="34" customHeight="1">
      <c r="A4" s="14" t="inlineStr">
        <is>
          <t>层</t>
        </is>
      </c>
      <c r="B4" s="14" t="inlineStr">
        <is>
          <t>持有数</t>
        </is>
      </c>
      <c r="C4" s="14" t="inlineStr">
        <is>
          <t>成本系数</t>
        </is>
      </c>
      <c r="D4" s="14" t="inlineStr">
        <is>
          <t>煤矿</t>
        </is>
      </c>
      <c r="E4" s="14" t="inlineStr">
        <is>
          <t>铁矿</t>
        </is>
      </c>
      <c r="F4" s="14" t="inlineStr">
        <is>
          <t>锌矿</t>
        </is>
      </c>
      <c r="G4" s="14" t="inlineStr">
        <is>
          <t>金矿</t>
        </is>
      </c>
      <c r="H4" s="14" t="inlineStr">
        <is>
          <t>水晶矿</t>
        </is>
      </c>
      <c r="I4" s="14" t="inlineStr">
        <is>
          <t>黑曜石</t>
        </is>
      </c>
      <c r="J4" s="14" t="inlineStr">
        <is>
          <t>钻石矿</t>
        </is>
      </c>
      <c r="K4" s="14" t="inlineStr">
        <is>
          <t>猫矿</t>
        </is>
      </c>
    </row>
    <row r="5" ht="48" customHeight="1">
      <c r="A5" s="15" t="inlineStr">
        <is>
          <t>解锁</t>
        </is>
      </c>
      <c r="B5" s="15" t="inlineStr">
        <is>
          <t>前矿数量</t>
        </is>
      </c>
      <c r="C5" s="15" t="inlineStr">
        <is>
          <t>0 / Base×0.5</t>
        </is>
      </c>
      <c r="D5" s="38" t="inlineStr">
        <is>
          <t>解锁·煤矿
0</t>
        </is>
      </c>
      <c r="E5" s="39" t="inlineStr">
        <is>
          <t>解锁·铁矿
250</t>
        </is>
      </c>
      <c r="F5" s="40" t="inlineStr">
        <is>
          <t>解锁·锌矿
2.75K</t>
        </is>
      </c>
      <c r="G5" s="41" t="inlineStr">
        <is>
          <t>解锁·金矿
30K</t>
        </is>
      </c>
      <c r="H5" s="42" t="inlineStr">
        <is>
          <t>解锁·水晶矿
325K</t>
        </is>
      </c>
      <c r="I5" s="43" t="inlineStr">
        <is>
          <t>解锁·黑曜石
3.5M</t>
        </is>
      </c>
      <c r="J5" s="44" t="inlineStr">
        <is>
          <t>解锁·钻石矿
50M</t>
        </is>
      </c>
      <c r="K5" s="45" t="inlineStr">
        <is>
          <t>解锁·猫矿
825M</t>
        </is>
      </c>
    </row>
    <row r="6" ht="43" customHeight="1">
      <c r="A6" s="15" t="n">
        <v>1</v>
      </c>
      <c r="B6" s="15" t="n">
        <v>1</v>
      </c>
      <c r="C6" s="46" t="n">
        <v>10</v>
      </c>
      <c r="D6" s="47" t="inlineStr">
        <is>
          <t>基础工具
×2 · 750</t>
        </is>
      </c>
      <c r="E6" s="48" t="inlineStr">
        <is>
          <t>基础工具
×2 · 5K</t>
        </is>
      </c>
      <c r="F6" s="49" t="inlineStr">
        <is>
          <t>基础工具
×2 · 55K</t>
        </is>
      </c>
      <c r="G6" s="50" t="inlineStr">
        <is>
          <t>基础工具
×2 · 600K</t>
        </is>
      </c>
      <c r="H6" s="51" t="inlineStr">
        <is>
          <t>基础工具
×2 · 6.5M</t>
        </is>
      </c>
      <c r="I6" s="52" t="inlineStr">
        <is>
          <t>基础工具
×2 · 70M</t>
        </is>
      </c>
      <c r="J6" s="53" t="inlineStr">
        <is>
          <t>基础工具
×2 · 1B</t>
        </is>
      </c>
      <c r="K6" s="54" t="inlineStr">
        <is>
          <t>基础工具
×2 · 16.5B</t>
        </is>
      </c>
    </row>
    <row r="7" ht="43" customHeight="1">
      <c r="A7" s="15" t="n">
        <v>2</v>
      </c>
      <c r="B7" s="15" t="n">
        <v>5</v>
      </c>
      <c r="C7" s="46" t="n">
        <v>50</v>
      </c>
      <c r="D7" s="47" t="inlineStr">
        <is>
          <t>标准流程
×2 · 3.75K</t>
        </is>
      </c>
      <c r="E7" s="48" t="inlineStr">
        <is>
          <t>标准流程
×2 · 25K</t>
        </is>
      </c>
      <c r="F7" s="49" t="inlineStr">
        <is>
          <t>标准流程
×2 · 275K</t>
        </is>
      </c>
      <c r="G7" s="50" t="inlineStr">
        <is>
          <t>标准流程
×2 · 3M</t>
        </is>
      </c>
      <c r="H7" s="51" t="inlineStr">
        <is>
          <t>标准流程
×2 · 32.5M</t>
        </is>
      </c>
      <c r="I7" s="52" t="inlineStr">
        <is>
          <t>标准流程
×2 · 350M</t>
        </is>
      </c>
      <c r="J7" s="53" t="inlineStr">
        <is>
          <t>标准流程
×2 · 5B</t>
        </is>
      </c>
      <c r="K7" s="54" t="inlineStr">
        <is>
          <t>标准流程
×2 · 82.5B</t>
        </is>
      </c>
    </row>
    <row r="8" ht="43" customHeight="1">
      <c r="A8" s="15" t="n">
        <v>3</v>
      </c>
      <c r="B8" s="15" t="n">
        <v>25</v>
      </c>
      <c r="C8" s="46" t="n">
        <v>500</v>
      </c>
      <c r="D8" s="47" t="inlineStr">
        <is>
          <t>机械化
×2 · 37.5K</t>
        </is>
      </c>
      <c r="E8" s="48" t="inlineStr">
        <is>
          <t>机械化
×2 · 250K</t>
        </is>
      </c>
      <c r="F8" s="49" t="inlineStr">
        <is>
          <t>机械化
×2 · 2.75M</t>
        </is>
      </c>
      <c r="G8" s="50" t="inlineStr">
        <is>
          <t>机械化
×2 · 30M</t>
        </is>
      </c>
      <c r="H8" s="51" t="inlineStr">
        <is>
          <t>机械化
×2 · 325M</t>
        </is>
      </c>
      <c r="I8" s="52" t="inlineStr">
        <is>
          <t>机械化
×2 · 3.5B</t>
        </is>
      </c>
      <c r="J8" s="53" t="inlineStr">
        <is>
          <t>机械化
×2 · 50B</t>
        </is>
      </c>
      <c r="K8" s="54" t="inlineStr">
        <is>
          <t>机械化
×2 · 825B</t>
        </is>
      </c>
    </row>
    <row r="9" ht="43" customHeight="1">
      <c r="A9" s="15" t="n">
        <v>4</v>
      </c>
      <c r="B9" s="15" t="n">
        <v>50</v>
      </c>
      <c r="C9" s="46" t="n">
        <v>50000</v>
      </c>
      <c r="D9" s="47" t="inlineStr">
        <is>
          <t>精密钻探
×2 · 3.75M</t>
        </is>
      </c>
      <c r="E9" s="48" t="inlineStr">
        <is>
          <t>精密钻探
×2 · 25M</t>
        </is>
      </c>
      <c r="F9" s="49" t="inlineStr">
        <is>
          <t>精密钻探
×2 · 275M</t>
        </is>
      </c>
      <c r="G9" s="50" t="inlineStr">
        <is>
          <t>精密钻探
×2 · 3B</t>
        </is>
      </c>
      <c r="H9" s="51" t="inlineStr">
        <is>
          <t>精密钻探
×2 · 32.5B</t>
        </is>
      </c>
      <c r="I9" s="52" t="inlineStr">
        <is>
          <t>精密钻探
×2 · 350B</t>
        </is>
      </c>
      <c r="J9" s="53" t="inlineStr">
        <is>
          <t>精密钻探
×2 · 5T</t>
        </is>
      </c>
      <c r="K9" s="54" t="inlineStr">
        <is>
          <t>精密钻探
×2 · 82.5T</t>
        </is>
      </c>
    </row>
    <row r="10" ht="43" customHeight="1">
      <c r="A10" s="15" t="n">
        <v>5</v>
      </c>
      <c r="B10" s="15" t="n">
        <v>100</v>
      </c>
      <c r="C10" s="46" t="n">
        <v>5000000</v>
      </c>
      <c r="D10" s="47" t="inlineStr">
        <is>
          <t>工业扩建
×2 · 375M</t>
        </is>
      </c>
      <c r="E10" s="48" t="inlineStr">
        <is>
          <t>工业扩建
×2 · 2.5B</t>
        </is>
      </c>
      <c r="F10" s="49" t="inlineStr">
        <is>
          <t>工业扩建
×2 · 27.5B</t>
        </is>
      </c>
      <c r="G10" s="50" t="inlineStr">
        <is>
          <t>工业扩建
×2 · 300B</t>
        </is>
      </c>
      <c r="H10" s="51" t="inlineStr">
        <is>
          <t>工业扩建
×2 · 3.25T</t>
        </is>
      </c>
      <c r="I10" s="52" t="inlineStr">
        <is>
          <t>工业扩建
×2 · 35T</t>
        </is>
      </c>
      <c r="J10" s="53" t="inlineStr">
        <is>
          <t>工业扩建
×2 · 500T</t>
        </is>
      </c>
      <c r="K10" s="54" t="inlineStr">
        <is>
          <t>工业扩建
×2 · 8.25Qa</t>
        </is>
      </c>
    </row>
    <row r="11" ht="43" customHeight="1">
      <c r="A11" s="15" t="n">
        <v>6</v>
      </c>
      <c r="B11" s="15" t="n">
        <v>150</v>
      </c>
      <c r="C11" s="46" t="n">
        <v>500000000</v>
      </c>
      <c r="D11" s="47" t="inlineStr">
        <is>
          <t>自动调度
×2 · 37.5B</t>
        </is>
      </c>
      <c r="E11" s="48" t="inlineStr">
        <is>
          <t>自动调度
×2 · 250B</t>
        </is>
      </c>
      <c r="F11" s="49" t="inlineStr">
        <is>
          <t>自动调度
×2 · 2.75T</t>
        </is>
      </c>
      <c r="G11" s="50" t="inlineStr">
        <is>
          <t>自动调度
×2 · 30T</t>
        </is>
      </c>
      <c r="H11" s="51" t="inlineStr">
        <is>
          <t>自动调度
×2 · 325T</t>
        </is>
      </c>
      <c r="I11" s="52" t="inlineStr">
        <is>
          <t>自动调度
×2 · 3.5Qa</t>
        </is>
      </c>
      <c r="J11" s="53" t="inlineStr">
        <is>
          <t>自动调度
×2 · 50Qa</t>
        </is>
      </c>
      <c r="K11" s="54" t="inlineStr">
        <is>
          <t>自动调度
×2 · 825Qa</t>
        </is>
      </c>
    </row>
    <row r="12" ht="43" customHeight="1">
      <c r="A12" s="15" t="n">
        <v>7</v>
      </c>
      <c r="B12" s="15" t="n">
        <v>200</v>
      </c>
      <c r="C12" s="46" t="n">
        <v>500000000000</v>
      </c>
      <c r="D12" s="47" t="inlineStr">
        <is>
          <t>深层网络
×2 · 37.5T</t>
        </is>
      </c>
      <c r="E12" s="48" t="inlineStr">
        <is>
          <t>深层网络
×2 · 250T</t>
        </is>
      </c>
      <c r="F12" s="49" t="inlineStr">
        <is>
          <t>深层网络
×2 · 2.75Qa</t>
        </is>
      </c>
      <c r="G12" s="50" t="inlineStr">
        <is>
          <t>深层网络
×2 · 30Qa</t>
        </is>
      </c>
      <c r="H12" s="51" t="inlineStr">
        <is>
          <t>深层网络
×2 · 325Qa</t>
        </is>
      </c>
      <c r="I12" s="52" t="inlineStr">
        <is>
          <t>深层网络
×2 · 3.5Qi</t>
        </is>
      </c>
      <c r="J12" s="53" t="inlineStr">
        <is>
          <t>深层网络
×2 · 50Qi</t>
        </is>
      </c>
      <c r="K12" s="54" t="inlineStr">
        <is>
          <t>深层网络
×2 · 825Qi</t>
        </is>
      </c>
    </row>
    <row r="13" ht="43" customHeight="1">
      <c r="A13" s="15" t="n">
        <v>8</v>
      </c>
      <c r="B13" s="15" t="n">
        <v>250</v>
      </c>
      <c r="C13" s="46" t="n">
        <v>500000000000000</v>
      </c>
      <c r="D13" s="47" t="inlineStr">
        <is>
          <t>量子提炼
×2 · 37.5Qa</t>
        </is>
      </c>
      <c r="E13" s="48" t="inlineStr">
        <is>
          <t>量子提炼
×2 · 250Qa</t>
        </is>
      </c>
      <c r="F13" s="49" t="inlineStr">
        <is>
          <t>量子提炼
×2 · 2.75Qi</t>
        </is>
      </c>
      <c r="G13" s="50" t="inlineStr">
        <is>
          <t>量子提炼
×2 · 30Qi</t>
        </is>
      </c>
      <c r="H13" s="51" t="inlineStr">
        <is>
          <t>量子提炼
×2 · 325Qi</t>
        </is>
      </c>
      <c r="I13" s="52" t="inlineStr">
        <is>
          <t>量子提炼
×2 · 3.500e+21</t>
        </is>
      </c>
      <c r="J13" s="53" t="inlineStr">
        <is>
          <t>量子提炼
×2 · 5.000e+22</t>
        </is>
      </c>
      <c r="K13" s="54" t="inlineStr">
        <is>
          <t>量子提炼
×2 · 8.250e+23</t>
        </is>
      </c>
    </row>
    <row r="14" ht="43" customHeight="1">
      <c r="A14" s="15" t="n">
        <v>9</v>
      </c>
      <c r="B14" s="15" t="n">
        <v>300</v>
      </c>
      <c r="C14" s="46" t="n">
        <v>5e+17</v>
      </c>
      <c r="D14" s="47" t="inlineStr">
        <is>
          <t>星核工艺
×2 · 37.5Qi</t>
        </is>
      </c>
      <c r="E14" s="48" t="inlineStr">
        <is>
          <t>星核工艺
×2 · 250Qi</t>
        </is>
      </c>
      <c r="F14" s="49" t="inlineStr">
        <is>
          <t>星核工艺
×2 · 2.750e+21</t>
        </is>
      </c>
      <c r="G14" s="50" t="inlineStr">
        <is>
          <t>星核工艺
×2 · 3.000e+22</t>
        </is>
      </c>
      <c r="H14" s="51" t="inlineStr">
        <is>
          <t>星核工艺
×2 · 3.250e+23</t>
        </is>
      </c>
      <c r="I14" s="52" t="inlineStr">
        <is>
          <t>星核工艺
×2 · 3.500e+24</t>
        </is>
      </c>
      <c r="J14" s="53" t="inlineStr">
        <is>
          <t>星核工艺
×2 · 5.000e+25</t>
        </is>
      </c>
      <c r="K14" s="54" t="inlineStr">
        <is>
          <t>星核工艺
×2 · 8.250e+26</t>
        </is>
      </c>
    </row>
    <row r="15" ht="43" customHeight="1">
      <c r="A15" s="15" t="n">
        <v>10</v>
      </c>
      <c r="B15" s="15" t="n">
        <v>350</v>
      </c>
      <c r="C15" s="46" t="n">
        <v>5e+20</v>
      </c>
      <c r="D15" s="47" t="inlineStr">
        <is>
          <t>维度开采
×2 · 3.750e+22</t>
        </is>
      </c>
      <c r="E15" s="48" t="inlineStr">
        <is>
          <t>维度开采
×2 · 2.500e+23</t>
        </is>
      </c>
      <c r="F15" s="49" t="inlineStr">
        <is>
          <t>维度开采
×2 · 2.750e+24</t>
        </is>
      </c>
      <c r="G15" s="50" t="inlineStr">
        <is>
          <t>维度开采
×2 · 3.000e+25</t>
        </is>
      </c>
      <c r="H15" s="51" t="inlineStr">
        <is>
          <t>维度开采
×2 · 3.250e+26</t>
        </is>
      </c>
      <c r="I15" s="52" t="inlineStr">
        <is>
          <t>维度开采
×2 · 3.500e+27</t>
        </is>
      </c>
      <c r="J15" s="53" t="inlineStr">
        <is>
          <t>维度开采
×2 · 5.000e+28</t>
        </is>
      </c>
      <c r="K15" s="54" t="inlineStr">
        <is>
          <t>维度开采
×2 · 8.250e+29</t>
        </is>
      </c>
    </row>
    <row r="16" ht="43" customHeight="1">
      <c r="A16" s="15" t="n">
        <v>11</v>
      </c>
      <c r="B16" s="15" t="n">
        <v>400</v>
      </c>
      <c r="C16" s="46" t="n">
        <v>5e+24</v>
      </c>
      <c r="D16" s="47" t="inlineStr">
        <is>
          <t>时间压缩
×2 · 3.750e+26</t>
        </is>
      </c>
      <c r="E16" s="48" t="inlineStr">
        <is>
          <t>时间压缩
×2 · 2.500e+27</t>
        </is>
      </c>
      <c r="F16" s="49" t="inlineStr">
        <is>
          <t>时间压缩
×2 · 2.750e+28</t>
        </is>
      </c>
      <c r="G16" s="50" t="inlineStr">
        <is>
          <t>时间压缩
×2 · 3.000e+29</t>
        </is>
      </c>
      <c r="H16" s="51" t="inlineStr">
        <is>
          <t>时间压缩
×2 · 3.250e+30</t>
        </is>
      </c>
      <c r="I16" s="52" t="inlineStr">
        <is>
          <t>时间压缩
×2 · 3.500e+31</t>
        </is>
      </c>
      <c r="J16" s="53" t="inlineStr">
        <is>
          <t>时间压缩
×2 · 5.000e+32</t>
        </is>
      </c>
      <c r="K16" s="54" t="inlineStr">
        <is>
          <t>时间压缩
×2 · 8.250e+33</t>
        </is>
      </c>
    </row>
    <row r="17" ht="43" customHeight="1">
      <c r="A17" s="15" t="n">
        <v>12</v>
      </c>
      <c r="B17" s="15" t="n">
        <v>450</v>
      </c>
      <c r="C17" s="46" t="n">
        <v>5e+28</v>
      </c>
      <c r="D17" s="47" t="inlineStr">
        <is>
          <t>因果矿脉
×2 · 3.750e+30</t>
        </is>
      </c>
      <c r="E17" s="48" t="inlineStr">
        <is>
          <t>因果矿脉
×2 · 2.500e+31</t>
        </is>
      </c>
      <c r="F17" s="49" t="inlineStr">
        <is>
          <t>因果矿脉
×2 · 2.750e+32</t>
        </is>
      </c>
      <c r="G17" s="50" t="inlineStr">
        <is>
          <t>因果矿脉
×2 · 3.000e+33</t>
        </is>
      </c>
      <c r="H17" s="51" t="inlineStr">
        <is>
          <t>因果矿脉
×2 · 3.250e+34</t>
        </is>
      </c>
      <c r="I17" s="52" t="inlineStr">
        <is>
          <t>因果矿脉
×2 · 3.500e+35</t>
        </is>
      </c>
      <c r="J17" s="53" t="inlineStr">
        <is>
          <t>因果矿脉
×2 · 5.000e+36</t>
        </is>
      </c>
      <c r="K17" s="54" t="inlineStr">
        <is>
          <t>因果矿脉
×2 · 8.250e+37</t>
        </is>
      </c>
    </row>
    <row r="18" ht="43" customHeight="1">
      <c r="A18" s="15" t="n">
        <v>13</v>
      </c>
      <c r="B18" s="15" t="n">
        <v>500</v>
      </c>
      <c r="C18" s="46" t="n">
        <v>5e+32</v>
      </c>
      <c r="D18" s="47" t="inlineStr">
        <is>
          <t>无限矿区
×2 · 3.750e+34</t>
        </is>
      </c>
      <c r="E18" s="48" t="inlineStr">
        <is>
          <t>无限矿区
×2 · 2.500e+35</t>
        </is>
      </c>
      <c r="F18" s="49" t="inlineStr">
        <is>
          <t>无限矿区
×2 · 2.750e+36</t>
        </is>
      </c>
      <c r="G18" s="50" t="inlineStr">
        <is>
          <t>无限矿区
×2 · 3.000e+37</t>
        </is>
      </c>
      <c r="H18" s="51" t="inlineStr">
        <is>
          <t>无限矿区
×2 · 3.250e+38</t>
        </is>
      </c>
      <c r="I18" s="52" t="inlineStr">
        <is>
          <t>无限矿区
×2 · 3.500e+39</t>
        </is>
      </c>
      <c r="J18" s="53" t="inlineStr">
        <is>
          <t>无限矿区
×2 · 5.000e+40</t>
        </is>
      </c>
      <c r="K18" s="54" t="inlineStr">
        <is>
          <t>无限矿区
×2 · 8.250e+41</t>
        </is>
      </c>
    </row>
    <row r="19" ht="43" customHeight="1">
      <c r="A19" s="15" t="n">
        <v>14</v>
      </c>
      <c r="B19" s="15" t="n">
        <v>550</v>
      </c>
      <c r="C19" s="46" t="n">
        <v>5e+36</v>
      </c>
      <c r="D19" s="47" t="inlineStr">
        <is>
          <t>概念提炼
×2 · 3.750e+38</t>
        </is>
      </c>
      <c r="E19" s="48" t="inlineStr">
        <is>
          <t>概念提炼
×2 · 2.500e+39</t>
        </is>
      </c>
      <c r="F19" s="49" t="inlineStr">
        <is>
          <t>概念提炼
×2 · 2.750e+40</t>
        </is>
      </c>
      <c r="G19" s="50" t="inlineStr">
        <is>
          <t>概念提炼
×2 · 3.000e+41</t>
        </is>
      </c>
      <c r="H19" s="51" t="inlineStr">
        <is>
          <t>概念提炼
×2 · 3.250e+42</t>
        </is>
      </c>
      <c r="I19" s="52" t="inlineStr">
        <is>
          <t>概念提炼
×2 · 3.500e+43</t>
        </is>
      </c>
      <c r="J19" s="53" t="inlineStr">
        <is>
          <t>概念提炼
×2 · 5.000e+44</t>
        </is>
      </c>
      <c r="K19" s="54" t="inlineStr">
        <is>
          <t>概念提炼
×2 · 8.250e+45</t>
        </is>
      </c>
    </row>
    <row r="20" ht="43" customHeight="1">
      <c r="A20" s="15" t="n">
        <v>15</v>
      </c>
      <c r="B20" s="15" t="n">
        <v>600</v>
      </c>
      <c r="C20" s="46" t="n">
        <v>5e+40</v>
      </c>
      <c r="D20" s="47" t="inlineStr">
        <is>
          <t>终极产能
×2 · 3.750e+42</t>
        </is>
      </c>
      <c r="E20" s="48" t="inlineStr">
        <is>
          <t>终极产能
×2 · 2.500e+43</t>
        </is>
      </c>
      <c r="F20" s="49" t="inlineStr">
        <is>
          <t>终极产能
×2 · 2.750e+44</t>
        </is>
      </c>
      <c r="G20" s="50" t="inlineStr">
        <is>
          <t>终极产能
×2 · 3.000e+45</t>
        </is>
      </c>
      <c r="H20" s="51" t="inlineStr">
        <is>
          <t>终极产能
×2 · 3.250e+46</t>
        </is>
      </c>
      <c r="I20" s="52" t="inlineStr">
        <is>
          <t>终极产能
×2 · 3.500e+47</t>
        </is>
      </c>
      <c r="J20" s="53" t="inlineStr">
        <is>
          <t>终极产能
×2 · 5.000e+48</t>
        </is>
      </c>
      <c r="K20" s="54" t="inlineStr">
        <is>
          <t>终极产能
×2 · 8.250e+49</t>
        </is>
      </c>
    </row>
    <row r="22" ht="25" customHeight="1">
      <c r="A22" s="12" t="inlineStr">
        <is>
          <t>阶段门槛</t>
        </is>
      </c>
    </row>
    <row r="23">
      <c r="A23" s="4" t="inlineStr">
        <is>
          <t>Tier 1~4</t>
        </is>
      </c>
      <c r="B23" t="inlineStr">
        <is>
          <t>本轮核心，无升华前置。</t>
        </is>
      </c>
    </row>
    <row r="24">
      <c r="A24" s="4" t="inlineStr">
        <is>
          <t>Tier 5~6</t>
        </is>
      </c>
      <c r="B24" t="inlineStr">
        <is>
          <t>需要 meta_deep_mining。</t>
        </is>
      </c>
    </row>
    <row r="25">
      <c r="A25" s="4" t="inlineStr">
        <is>
          <t>Tier 7~10</t>
        </is>
      </c>
      <c r="B25" t="inlineStr">
        <is>
          <t>需要 meta_abyssal_mining，并逐行检查 BigNumber。</t>
        </is>
      </c>
    </row>
    <row r="26">
      <c r="A26" s="4" t="inlineStr">
        <is>
          <t>Tier 11~15</t>
        </is>
      </c>
      <c r="B26" t="inlineStr">
        <is>
          <t>需要 meta_endless_mining，强制 BigNumber。</t>
        </is>
      </c>
    </row>
  </sheetData>
  <mergeCells count="7">
    <mergeCell ref="A22:K22"/>
    <mergeCell ref="B23:K23"/>
    <mergeCell ref="B26:K26"/>
    <mergeCell ref="A2:K2"/>
    <mergeCell ref="B25:K25"/>
    <mergeCell ref="B24:K24"/>
    <mergeCell ref="A1:K1"/>
  </mergeCells>
  <hyperlinks>
    <hyperlink xmlns:r="http://schemas.openxmlformats.org/officeDocument/2006/relationships" ref="D5" r:id="rId1"/>
    <hyperlink xmlns:r="http://schemas.openxmlformats.org/officeDocument/2006/relationships" ref="E5" r:id="rId2"/>
    <hyperlink xmlns:r="http://schemas.openxmlformats.org/officeDocument/2006/relationships" ref="F5" r:id="rId3"/>
    <hyperlink xmlns:r="http://schemas.openxmlformats.org/officeDocument/2006/relationships" ref="G5" r:id="rId4"/>
    <hyperlink xmlns:r="http://schemas.openxmlformats.org/officeDocument/2006/relationships" ref="H5" r:id="rId5"/>
    <hyperlink xmlns:r="http://schemas.openxmlformats.org/officeDocument/2006/relationships" ref="I5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F6" r:id="rId11"/>
    <hyperlink xmlns:r="http://schemas.openxmlformats.org/officeDocument/2006/relationships" ref="G6" r:id="rId12"/>
    <hyperlink xmlns:r="http://schemas.openxmlformats.org/officeDocument/2006/relationships" ref="H6" r:id="rId13"/>
    <hyperlink xmlns:r="http://schemas.openxmlformats.org/officeDocument/2006/relationships" ref="I6" r:id="rId14"/>
    <hyperlink xmlns:r="http://schemas.openxmlformats.org/officeDocument/2006/relationships" ref="J6" r:id="rId15"/>
    <hyperlink xmlns:r="http://schemas.openxmlformats.org/officeDocument/2006/relationships" ref="K6" r:id="rId16"/>
    <hyperlink xmlns:r="http://schemas.openxmlformats.org/officeDocument/2006/relationships" ref="D7" r:id="rId17"/>
    <hyperlink xmlns:r="http://schemas.openxmlformats.org/officeDocument/2006/relationships" ref="E7" r:id="rId18"/>
    <hyperlink xmlns:r="http://schemas.openxmlformats.org/officeDocument/2006/relationships" ref="F7" r:id="rId19"/>
    <hyperlink xmlns:r="http://schemas.openxmlformats.org/officeDocument/2006/relationships" ref="G7" r:id="rId20"/>
    <hyperlink xmlns:r="http://schemas.openxmlformats.org/officeDocument/2006/relationships" ref="H7" r:id="rId21"/>
    <hyperlink xmlns:r="http://schemas.openxmlformats.org/officeDocument/2006/relationships" ref="I7" r:id="rId22"/>
    <hyperlink xmlns:r="http://schemas.openxmlformats.org/officeDocument/2006/relationships" ref="J7" r:id="rId23"/>
    <hyperlink xmlns:r="http://schemas.openxmlformats.org/officeDocument/2006/relationships" ref="K7" r:id="rId24"/>
    <hyperlink xmlns:r="http://schemas.openxmlformats.org/officeDocument/2006/relationships" ref="D8" r:id="rId25"/>
    <hyperlink xmlns:r="http://schemas.openxmlformats.org/officeDocument/2006/relationships" ref="E8" r:id="rId26"/>
    <hyperlink xmlns:r="http://schemas.openxmlformats.org/officeDocument/2006/relationships" ref="F8" r:id="rId27"/>
    <hyperlink xmlns:r="http://schemas.openxmlformats.org/officeDocument/2006/relationships" ref="G8" r:id="rId28"/>
    <hyperlink xmlns:r="http://schemas.openxmlformats.org/officeDocument/2006/relationships" ref="H8" r:id="rId29"/>
    <hyperlink xmlns:r="http://schemas.openxmlformats.org/officeDocument/2006/relationships" ref="I8" r:id="rId30"/>
    <hyperlink xmlns:r="http://schemas.openxmlformats.org/officeDocument/2006/relationships" ref="J8" r:id="rId31"/>
    <hyperlink xmlns:r="http://schemas.openxmlformats.org/officeDocument/2006/relationships" ref="K8" r:id="rId32"/>
    <hyperlink xmlns:r="http://schemas.openxmlformats.org/officeDocument/2006/relationships" ref="D9" r:id="rId33"/>
    <hyperlink xmlns:r="http://schemas.openxmlformats.org/officeDocument/2006/relationships" ref="E9" r:id="rId34"/>
    <hyperlink xmlns:r="http://schemas.openxmlformats.org/officeDocument/2006/relationships" ref="F9" r:id="rId35"/>
    <hyperlink xmlns:r="http://schemas.openxmlformats.org/officeDocument/2006/relationships" ref="G9" r:id="rId36"/>
    <hyperlink xmlns:r="http://schemas.openxmlformats.org/officeDocument/2006/relationships" ref="H9" r:id="rId37"/>
    <hyperlink xmlns:r="http://schemas.openxmlformats.org/officeDocument/2006/relationships" ref="I9" r:id="rId38"/>
    <hyperlink xmlns:r="http://schemas.openxmlformats.org/officeDocument/2006/relationships" ref="J9" r:id="rId39"/>
    <hyperlink xmlns:r="http://schemas.openxmlformats.org/officeDocument/2006/relationships" ref="K9" r:id="rId40"/>
    <hyperlink xmlns:r="http://schemas.openxmlformats.org/officeDocument/2006/relationships" ref="D10" r:id="rId41"/>
    <hyperlink xmlns:r="http://schemas.openxmlformats.org/officeDocument/2006/relationships" ref="E10" r:id="rId42"/>
    <hyperlink xmlns:r="http://schemas.openxmlformats.org/officeDocument/2006/relationships" ref="F10" r:id="rId43"/>
    <hyperlink xmlns:r="http://schemas.openxmlformats.org/officeDocument/2006/relationships" ref="G10" r:id="rId44"/>
    <hyperlink xmlns:r="http://schemas.openxmlformats.org/officeDocument/2006/relationships" ref="H10" r:id="rId45"/>
    <hyperlink xmlns:r="http://schemas.openxmlformats.org/officeDocument/2006/relationships" ref="I10" r:id="rId46"/>
    <hyperlink xmlns:r="http://schemas.openxmlformats.org/officeDocument/2006/relationships" ref="J10" r:id="rId47"/>
    <hyperlink xmlns:r="http://schemas.openxmlformats.org/officeDocument/2006/relationships" ref="K10" r:id="rId48"/>
    <hyperlink xmlns:r="http://schemas.openxmlformats.org/officeDocument/2006/relationships" ref="D11" r:id="rId49"/>
    <hyperlink xmlns:r="http://schemas.openxmlformats.org/officeDocument/2006/relationships" ref="E11" r:id="rId50"/>
    <hyperlink xmlns:r="http://schemas.openxmlformats.org/officeDocument/2006/relationships" ref="F11" r:id="rId51"/>
    <hyperlink xmlns:r="http://schemas.openxmlformats.org/officeDocument/2006/relationships" ref="G11" r:id="rId52"/>
    <hyperlink xmlns:r="http://schemas.openxmlformats.org/officeDocument/2006/relationships" ref="H11" r:id="rId53"/>
    <hyperlink xmlns:r="http://schemas.openxmlformats.org/officeDocument/2006/relationships" ref="I11" r:id="rId54"/>
    <hyperlink xmlns:r="http://schemas.openxmlformats.org/officeDocument/2006/relationships" ref="J11" r:id="rId55"/>
    <hyperlink xmlns:r="http://schemas.openxmlformats.org/officeDocument/2006/relationships" ref="K11" r:id="rId56"/>
    <hyperlink xmlns:r="http://schemas.openxmlformats.org/officeDocument/2006/relationships" ref="D12" r:id="rId57"/>
    <hyperlink xmlns:r="http://schemas.openxmlformats.org/officeDocument/2006/relationships" ref="E12" r:id="rId58"/>
    <hyperlink xmlns:r="http://schemas.openxmlformats.org/officeDocument/2006/relationships" ref="F12" r:id="rId59"/>
    <hyperlink xmlns:r="http://schemas.openxmlformats.org/officeDocument/2006/relationships" ref="G12" r:id="rId60"/>
    <hyperlink xmlns:r="http://schemas.openxmlformats.org/officeDocument/2006/relationships" ref="H12" r:id="rId61"/>
    <hyperlink xmlns:r="http://schemas.openxmlformats.org/officeDocument/2006/relationships" ref="I12" r:id="rId62"/>
    <hyperlink xmlns:r="http://schemas.openxmlformats.org/officeDocument/2006/relationships" ref="J12" r:id="rId63"/>
    <hyperlink xmlns:r="http://schemas.openxmlformats.org/officeDocument/2006/relationships" ref="K12" r:id="rId64"/>
    <hyperlink xmlns:r="http://schemas.openxmlformats.org/officeDocument/2006/relationships" ref="D13" r:id="rId65"/>
    <hyperlink xmlns:r="http://schemas.openxmlformats.org/officeDocument/2006/relationships" ref="E13" r:id="rId66"/>
    <hyperlink xmlns:r="http://schemas.openxmlformats.org/officeDocument/2006/relationships" ref="F13" r:id="rId67"/>
    <hyperlink xmlns:r="http://schemas.openxmlformats.org/officeDocument/2006/relationships" ref="G13" r:id="rId68"/>
    <hyperlink xmlns:r="http://schemas.openxmlformats.org/officeDocument/2006/relationships" ref="H13" r:id="rId69"/>
    <hyperlink xmlns:r="http://schemas.openxmlformats.org/officeDocument/2006/relationships" ref="I13" r:id="rId70"/>
    <hyperlink xmlns:r="http://schemas.openxmlformats.org/officeDocument/2006/relationships" ref="J13" r:id="rId71"/>
    <hyperlink xmlns:r="http://schemas.openxmlformats.org/officeDocument/2006/relationships" ref="K13" r:id="rId72"/>
    <hyperlink xmlns:r="http://schemas.openxmlformats.org/officeDocument/2006/relationships" ref="D14" r:id="rId73"/>
    <hyperlink xmlns:r="http://schemas.openxmlformats.org/officeDocument/2006/relationships" ref="E14" r:id="rId74"/>
    <hyperlink xmlns:r="http://schemas.openxmlformats.org/officeDocument/2006/relationships" ref="F14" r:id="rId75"/>
    <hyperlink xmlns:r="http://schemas.openxmlformats.org/officeDocument/2006/relationships" ref="G14" r:id="rId76"/>
    <hyperlink xmlns:r="http://schemas.openxmlformats.org/officeDocument/2006/relationships" ref="H14" r:id="rId77"/>
    <hyperlink xmlns:r="http://schemas.openxmlformats.org/officeDocument/2006/relationships" ref="I14" r:id="rId78"/>
    <hyperlink xmlns:r="http://schemas.openxmlformats.org/officeDocument/2006/relationships" ref="J14" r:id="rId79"/>
    <hyperlink xmlns:r="http://schemas.openxmlformats.org/officeDocument/2006/relationships" ref="K14" r:id="rId80"/>
    <hyperlink xmlns:r="http://schemas.openxmlformats.org/officeDocument/2006/relationships" ref="D15" r:id="rId81"/>
    <hyperlink xmlns:r="http://schemas.openxmlformats.org/officeDocument/2006/relationships" ref="E15" r:id="rId82"/>
    <hyperlink xmlns:r="http://schemas.openxmlformats.org/officeDocument/2006/relationships" ref="F15" r:id="rId83"/>
    <hyperlink xmlns:r="http://schemas.openxmlformats.org/officeDocument/2006/relationships" ref="G15" r:id="rId84"/>
    <hyperlink xmlns:r="http://schemas.openxmlformats.org/officeDocument/2006/relationships" ref="H15" r:id="rId85"/>
    <hyperlink xmlns:r="http://schemas.openxmlformats.org/officeDocument/2006/relationships" ref="I15" r:id="rId86"/>
    <hyperlink xmlns:r="http://schemas.openxmlformats.org/officeDocument/2006/relationships" ref="J15" r:id="rId87"/>
    <hyperlink xmlns:r="http://schemas.openxmlformats.org/officeDocument/2006/relationships" ref="K15" r:id="rId88"/>
    <hyperlink xmlns:r="http://schemas.openxmlformats.org/officeDocument/2006/relationships" ref="D16" r:id="rId89"/>
    <hyperlink xmlns:r="http://schemas.openxmlformats.org/officeDocument/2006/relationships" ref="E16" r:id="rId90"/>
    <hyperlink xmlns:r="http://schemas.openxmlformats.org/officeDocument/2006/relationships" ref="F16" r:id="rId91"/>
    <hyperlink xmlns:r="http://schemas.openxmlformats.org/officeDocument/2006/relationships" ref="G16" r:id="rId92"/>
    <hyperlink xmlns:r="http://schemas.openxmlformats.org/officeDocument/2006/relationships" ref="H16" r:id="rId93"/>
    <hyperlink xmlns:r="http://schemas.openxmlformats.org/officeDocument/2006/relationships" ref="I16" r:id="rId94"/>
    <hyperlink xmlns:r="http://schemas.openxmlformats.org/officeDocument/2006/relationships" ref="J16" r:id="rId95"/>
    <hyperlink xmlns:r="http://schemas.openxmlformats.org/officeDocument/2006/relationships" ref="K16" r:id="rId96"/>
    <hyperlink xmlns:r="http://schemas.openxmlformats.org/officeDocument/2006/relationships" ref="D17" r:id="rId97"/>
    <hyperlink xmlns:r="http://schemas.openxmlformats.org/officeDocument/2006/relationships" ref="E17" r:id="rId98"/>
    <hyperlink xmlns:r="http://schemas.openxmlformats.org/officeDocument/2006/relationships" ref="F17" r:id="rId99"/>
    <hyperlink xmlns:r="http://schemas.openxmlformats.org/officeDocument/2006/relationships" ref="G17" r:id="rId100"/>
    <hyperlink xmlns:r="http://schemas.openxmlformats.org/officeDocument/2006/relationships" ref="H17" r:id="rId101"/>
    <hyperlink xmlns:r="http://schemas.openxmlformats.org/officeDocument/2006/relationships" ref="I17" r:id="rId102"/>
    <hyperlink xmlns:r="http://schemas.openxmlformats.org/officeDocument/2006/relationships" ref="J17" r:id="rId103"/>
    <hyperlink xmlns:r="http://schemas.openxmlformats.org/officeDocument/2006/relationships" ref="K17" r:id="rId104"/>
    <hyperlink xmlns:r="http://schemas.openxmlformats.org/officeDocument/2006/relationships" ref="D18" r:id="rId105"/>
    <hyperlink xmlns:r="http://schemas.openxmlformats.org/officeDocument/2006/relationships" ref="E18" r:id="rId106"/>
    <hyperlink xmlns:r="http://schemas.openxmlformats.org/officeDocument/2006/relationships" ref="F18" r:id="rId107"/>
    <hyperlink xmlns:r="http://schemas.openxmlformats.org/officeDocument/2006/relationships" ref="G18" r:id="rId108"/>
    <hyperlink xmlns:r="http://schemas.openxmlformats.org/officeDocument/2006/relationships" ref="H18" r:id="rId109"/>
    <hyperlink xmlns:r="http://schemas.openxmlformats.org/officeDocument/2006/relationships" ref="I18" r:id="rId110"/>
    <hyperlink xmlns:r="http://schemas.openxmlformats.org/officeDocument/2006/relationships" ref="J18" r:id="rId111"/>
    <hyperlink xmlns:r="http://schemas.openxmlformats.org/officeDocument/2006/relationships" ref="K18" r:id="rId112"/>
    <hyperlink xmlns:r="http://schemas.openxmlformats.org/officeDocument/2006/relationships" ref="D19" r:id="rId113"/>
    <hyperlink xmlns:r="http://schemas.openxmlformats.org/officeDocument/2006/relationships" ref="E19" r:id="rId114"/>
    <hyperlink xmlns:r="http://schemas.openxmlformats.org/officeDocument/2006/relationships" ref="F19" r:id="rId115"/>
    <hyperlink xmlns:r="http://schemas.openxmlformats.org/officeDocument/2006/relationships" ref="G19" r:id="rId116"/>
    <hyperlink xmlns:r="http://schemas.openxmlformats.org/officeDocument/2006/relationships" ref="H19" r:id="rId117"/>
    <hyperlink xmlns:r="http://schemas.openxmlformats.org/officeDocument/2006/relationships" ref="I19" r:id="rId118"/>
    <hyperlink xmlns:r="http://schemas.openxmlformats.org/officeDocument/2006/relationships" ref="J19" r:id="rId119"/>
    <hyperlink xmlns:r="http://schemas.openxmlformats.org/officeDocument/2006/relationships" ref="K19" r:id="rId120"/>
    <hyperlink xmlns:r="http://schemas.openxmlformats.org/officeDocument/2006/relationships" ref="D20" r:id="rId121"/>
    <hyperlink xmlns:r="http://schemas.openxmlformats.org/officeDocument/2006/relationships" ref="E20" r:id="rId122"/>
    <hyperlink xmlns:r="http://schemas.openxmlformats.org/officeDocument/2006/relationships" ref="F20" r:id="rId123"/>
    <hyperlink xmlns:r="http://schemas.openxmlformats.org/officeDocument/2006/relationships" ref="G20" r:id="rId124"/>
    <hyperlink xmlns:r="http://schemas.openxmlformats.org/officeDocument/2006/relationships" ref="H20" r:id="rId125"/>
    <hyperlink xmlns:r="http://schemas.openxmlformats.org/officeDocument/2006/relationships" ref="I20" r:id="rId126"/>
    <hyperlink xmlns:r="http://schemas.openxmlformats.org/officeDocument/2006/relationships" ref="J20" r:id="rId127"/>
    <hyperlink xmlns:r="http://schemas.openxmlformats.org/officeDocument/2006/relationships" ref="K20" r:id="rId128"/>
  </hyperlink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5" customWidth="1" min="2" max="2"/>
    <col width="12" customWidth="1" min="3" max="3"/>
    <col width="14" customWidth="1" min="4" max="4"/>
    <col width="17" customWidth="1" min="5" max="5"/>
    <col width="24" customWidth="1" min="6" max="6"/>
    <col width="25" customWidth="1" min="7" max="7"/>
    <col width="17" customWidth="1" min="8" max="8"/>
    <col width="23" customWidth="1" min="9" max="9"/>
    <col width="34" customWidth="1" min="10" max="10"/>
    <col width="25" customWidth="1" min="11" max="11"/>
    <col width="13" customWidth="1" min="12" max="12"/>
  </cols>
  <sheetData>
    <row r="1" ht="34" customHeight="1">
      <c r="A1" s="1" t="inlineStr">
        <is>
          <t>黄金矿：Grandma 式横向连接器</t>
        </is>
      </c>
    </row>
    <row r="2" ht="31" customHeight="1">
      <c r="A2" s="2" t="inlineStr">
        <is>
          <t>黄金矿仍按第4阶段解锁，但通过 7 条专精 Link 复活其他矿；默认使用压缩倍率。</t>
        </is>
      </c>
    </row>
    <row r="4" ht="34" customHeight="1">
      <c r="A4" s="14" t="inlineStr">
        <is>
          <t>Node_ID</t>
        </is>
      </c>
      <c r="B4" s="14" t="inlineStr">
        <is>
          <t>按钮</t>
        </is>
      </c>
      <c r="C4" s="14" t="inlineStr">
        <is>
          <t>目标矿</t>
        </is>
      </c>
      <c r="D4" s="14" t="inlineStr">
        <is>
          <t>Gold除数</t>
        </is>
      </c>
      <c r="E4" s="14" t="inlineStr">
        <is>
          <t>解锁</t>
        </is>
      </c>
      <c r="F4" s="14" t="inlineStr">
        <is>
          <t>成本</t>
        </is>
      </c>
      <c r="G4" s="14" t="inlineStr">
        <is>
          <t>目标倍率公式</t>
        </is>
      </c>
      <c r="H4" s="14" t="inlineStr">
        <is>
          <t>Gold自身增量</t>
        </is>
      </c>
      <c r="I4" s="14" t="inlineStr">
        <is>
          <t>阶段</t>
        </is>
      </c>
      <c r="J4" s="14" t="inlineStr">
        <is>
          <t>参考回本</t>
        </is>
      </c>
      <c r="K4" s="14" t="inlineStr">
        <is>
          <t>实现约束</t>
        </is>
      </c>
      <c r="L4" s="14" t="inlineStr">
        <is>
          <t>跳转</t>
        </is>
      </c>
    </row>
    <row r="5">
      <c r="A5" s="15" t="inlineStr">
        <is>
          <t>gold_link_coal</t>
        </is>
      </c>
      <c r="B5" s="15" t="inlineStr">
        <is>
          <t>焦煤老矿工</t>
        </is>
      </c>
      <c r="C5" s="15" t="inlineStr">
        <is>
          <t>煤矿</t>
        </is>
      </c>
      <c r="D5" s="15" t="n">
        <v>1</v>
      </c>
      <c r="E5" s="15" t="inlineStr">
        <is>
          <t>gold_owned ≥ 1 且 coal_owned ≥ 15</t>
        </is>
      </c>
      <c r="F5" s="15" t="n">
        <v>3750</v>
      </c>
      <c r="G5" s="15" t="inlineStr">
        <is>
          <t>1 + GoldOwned×1%/1</t>
        </is>
      </c>
      <c r="H5" s="15" t="inlineStr">
        <is>
          <t>+50%（压缩模式）</t>
        </is>
      </c>
      <c r="I5" s="15" t="inlineStr">
        <is>
          <t>本轮核心</t>
        </is>
      </c>
      <c r="J5" s="15" t="inlineStr">
        <is>
          <t>Link 本身是横向里程碑</t>
        </is>
      </c>
      <c r="K5" s="15" t="inlineStr">
        <is>
          <t>只乘自动CPS；不乘实体矿价值</t>
        </is>
      </c>
      <c r="L5" s="15" t="inlineStr">
        <is>
          <t>打开节点</t>
        </is>
      </c>
    </row>
    <row r="6">
      <c r="A6" s="15" t="inlineStr">
        <is>
          <t>gold_link_iron</t>
        </is>
      </c>
      <c r="B6" s="15" t="inlineStr">
        <is>
          <t>铁匠淘金团</t>
        </is>
      </c>
      <c r="C6" s="15" t="inlineStr">
        <is>
          <t>铁矿</t>
        </is>
      </c>
      <c r="D6" s="15" t="n">
        <v>2</v>
      </c>
      <c r="E6" s="15" t="inlineStr">
        <is>
          <t>gold_owned ≥ 1 且 iron_owned ≥ 15</t>
        </is>
      </c>
      <c r="F6" s="15" t="n">
        <v>25000</v>
      </c>
      <c r="G6" s="15" t="inlineStr">
        <is>
          <t>1 + GoldOwned×1%/2</t>
        </is>
      </c>
      <c r="H6" s="15" t="inlineStr">
        <is>
          <t>+50%（压缩模式）</t>
        </is>
      </c>
      <c r="I6" s="15" t="inlineStr">
        <is>
          <t>本轮核心</t>
        </is>
      </c>
      <c r="J6" s="15" t="inlineStr">
        <is>
          <t>Link 本身是横向里程碑</t>
        </is>
      </c>
      <c r="K6" s="15" t="inlineStr">
        <is>
          <t>只乘自动CPS；不乘实体矿价值</t>
        </is>
      </c>
      <c r="L6" s="15" t="inlineStr">
        <is>
          <t>打开节点</t>
        </is>
      </c>
    </row>
    <row r="7">
      <c r="A7" s="15" t="inlineStr">
        <is>
          <t>gold_link_zinc</t>
        </is>
      </c>
      <c r="B7" s="15" t="inlineStr">
        <is>
          <t>选矿老行家</t>
        </is>
      </c>
      <c r="C7" s="15" t="inlineStr">
        <is>
          <t>锌矿</t>
        </is>
      </c>
      <c r="D7" s="15" t="n">
        <v>3</v>
      </c>
      <c r="E7" s="15" t="inlineStr">
        <is>
          <t>gold_owned ≥ 1 且 zinc_owned ≥ 15</t>
        </is>
      </c>
      <c r="F7" s="15" t="n">
        <v>275000</v>
      </c>
      <c r="G7" s="15" t="inlineStr">
        <is>
          <t>1 + GoldOwned×1%/3</t>
        </is>
      </c>
      <c r="H7" s="15" t="inlineStr">
        <is>
          <t>+50%（压缩模式）</t>
        </is>
      </c>
      <c r="I7" s="15" t="inlineStr">
        <is>
          <t>本轮核心</t>
        </is>
      </c>
      <c r="J7" s="15" t="inlineStr">
        <is>
          <t>Link 本身是横向里程碑</t>
        </is>
      </c>
      <c r="K7" s="15" t="inlineStr">
        <is>
          <t>只乘自动CPS；不乘实体矿价值</t>
        </is>
      </c>
      <c r="L7" s="15" t="inlineStr">
        <is>
          <t>打开节点</t>
        </is>
      </c>
    </row>
    <row r="8">
      <c r="A8" s="15" t="inlineStr">
        <is>
          <t>gold_link_crystal</t>
        </is>
      </c>
      <c r="B8" s="15" t="inlineStr">
        <is>
          <t>水晶鉴定师</t>
        </is>
      </c>
      <c r="C8" s="15" t="inlineStr">
        <is>
          <t>水晶矿</t>
        </is>
      </c>
      <c r="D8" s="15" t="n">
        <v>4</v>
      </c>
      <c r="E8" s="15" t="inlineStr">
        <is>
          <t>gold_owned ≥ 1 且 crystal_owned ≥ 15</t>
        </is>
      </c>
      <c r="F8" s="15" t="n">
        <v>32500000</v>
      </c>
      <c r="G8" s="15" t="inlineStr">
        <is>
          <t>1 + GoldOwned×1%/4</t>
        </is>
      </c>
      <c r="H8" s="15" t="inlineStr">
        <is>
          <t>+50%（压缩模式）</t>
        </is>
      </c>
      <c r="I8" s="15" t="inlineStr">
        <is>
          <t>本轮核心</t>
        </is>
      </c>
      <c r="J8" s="15" t="inlineStr">
        <is>
          <t>Link 本身是横向里程碑</t>
        </is>
      </c>
      <c r="K8" s="15" t="inlineStr">
        <is>
          <t>只乘自动CPS；不乘实体矿价值</t>
        </is>
      </c>
      <c r="L8" s="15" t="inlineStr">
        <is>
          <t>打开节点</t>
        </is>
      </c>
    </row>
    <row r="9">
      <c r="A9" s="15" t="inlineStr">
        <is>
          <t>gold_link_obsidian</t>
        </is>
      </c>
      <c r="B9" s="15" t="inlineStr">
        <is>
          <t>黑曜守库人</t>
        </is>
      </c>
      <c r="C9" s="15" t="inlineStr">
        <is>
          <t>黑曜石</t>
        </is>
      </c>
      <c r="D9" s="15" t="n">
        <v>5</v>
      </c>
      <c r="E9" s="15" t="inlineStr">
        <is>
          <t>gold_owned ≥ 1 且 obsidian_owned ≥ 15</t>
        </is>
      </c>
      <c r="F9" s="15" t="n">
        <v>350000000</v>
      </c>
      <c r="G9" s="15" t="inlineStr">
        <is>
          <t>1 + GoldOwned×1%/5</t>
        </is>
      </c>
      <c r="H9" s="15" t="inlineStr">
        <is>
          <t>+50%（压缩模式）</t>
        </is>
      </c>
      <c r="I9" s="15" t="inlineStr">
        <is>
          <t>本轮核心</t>
        </is>
      </c>
      <c r="J9" s="15" t="inlineStr">
        <is>
          <t>Link 本身是横向里程碑</t>
        </is>
      </c>
      <c r="K9" s="15" t="inlineStr">
        <is>
          <t>只乘自动CPS；不乘实体矿价值</t>
        </is>
      </c>
      <c r="L9" s="15" t="inlineStr">
        <is>
          <t>打开节点</t>
        </is>
      </c>
    </row>
    <row r="10">
      <c r="A10" s="15" t="inlineStr">
        <is>
          <t>gold_link_diamond</t>
        </is>
      </c>
      <c r="B10" s="15" t="inlineStr">
        <is>
          <t>钻石切割师</t>
        </is>
      </c>
      <c r="C10" s="15" t="inlineStr">
        <is>
          <t>钻石矿</t>
        </is>
      </c>
      <c r="D10" s="15" t="n">
        <v>6</v>
      </c>
      <c r="E10" s="15" t="inlineStr">
        <is>
          <t>gold_owned ≥ 1 且 diamond_owned ≥ 15</t>
        </is>
      </c>
      <c r="F10" s="15" t="n">
        <v>5000000000</v>
      </c>
      <c r="G10" s="15" t="inlineStr">
        <is>
          <t>1 + GoldOwned×1%/6</t>
        </is>
      </c>
      <c r="H10" s="15" t="inlineStr">
        <is>
          <t>+50%（压缩模式）</t>
        </is>
      </c>
      <c r="I10" s="15" t="inlineStr">
        <is>
          <t>本轮核心</t>
        </is>
      </c>
      <c r="J10" s="15" t="inlineStr">
        <is>
          <t>Link 本身是横向里程碑</t>
        </is>
      </c>
      <c r="K10" s="15" t="inlineStr">
        <is>
          <t>只乘自动CPS；不乘实体矿价值</t>
        </is>
      </c>
      <c r="L10" s="15" t="inlineStr">
        <is>
          <t>打开节点</t>
        </is>
      </c>
    </row>
    <row r="11">
      <c r="A11" s="15" t="inlineStr">
        <is>
          <t>gold_link_cat</t>
        </is>
      </c>
      <c r="B11" s="15" t="inlineStr">
        <is>
          <t>猫矿饲养员</t>
        </is>
      </c>
      <c r="C11" s="15" t="inlineStr">
        <is>
          <t>猫矿</t>
        </is>
      </c>
      <c r="D11" s="15" t="n">
        <v>7</v>
      </c>
      <c r="E11" s="15" t="inlineStr">
        <is>
          <t>gold_owned ≥ 1 且 cat_owned ≥ 15</t>
        </is>
      </c>
      <c r="F11" s="15" t="n">
        <v>82500000000</v>
      </c>
      <c r="G11" s="15" t="inlineStr">
        <is>
          <t>1 + GoldOwned×1%/7</t>
        </is>
      </c>
      <c r="H11" s="15" t="inlineStr">
        <is>
          <t>+50%（压缩模式）</t>
        </is>
      </c>
      <c r="I11" s="15" t="inlineStr">
        <is>
          <t>本轮核心</t>
        </is>
      </c>
      <c r="J11" s="15" t="inlineStr">
        <is>
          <t>Link 本身是横向里程碑</t>
        </is>
      </c>
      <c r="K11" s="15" t="inlineStr">
        <is>
          <t>只乘自动CPS；不乘实体矿价值</t>
        </is>
      </c>
      <c r="L11" s="15" t="inlineStr">
        <is>
          <t>打开节点</t>
        </is>
      </c>
    </row>
    <row r="13" ht="25" customHeight="1">
      <c r="A13" s="9" t="inlineStr">
        <is>
          <t>黄金专属研究</t>
        </is>
      </c>
    </row>
    <row r="14" ht="34" customHeight="1">
      <c r="A14" s="14" t="inlineStr">
        <is>
          <t>Node_ID</t>
        </is>
      </c>
      <c r="B14" s="14" t="inlineStr">
        <is>
          <t>按钮</t>
        </is>
      </c>
      <c r="C14" s="14" t="inlineStr">
        <is>
          <t>解锁</t>
        </is>
      </c>
      <c r="D14" s="14" t="inlineStr">
        <is>
          <t>成本</t>
        </is>
      </c>
      <c r="E14" s="14" t="inlineStr">
        <is>
          <t>效果</t>
        </is>
      </c>
      <c r="F14" s="14" t="inlineStr">
        <is>
          <t>阶段</t>
        </is>
      </c>
      <c r="G14" s="14" t="inlineStr">
        <is>
          <t>说明</t>
        </is>
      </c>
    </row>
    <row r="15">
      <c r="A15" s="15" t="inlineStr">
        <is>
          <t>gold_assay_network</t>
        </is>
      </c>
      <c r="B15" s="15" t="inlineStr">
        <is>
          <t>黄金联合鉴定网</t>
        </is>
      </c>
      <c r="C15" s="15" t="inlineStr">
        <is>
          <t>gold_link_count ≥ 3 且 gold_owned ≥ 25</t>
        </is>
      </c>
      <c r="D15" s="15" t="n">
        <v>5000000</v>
      </c>
      <c r="E15" s="15" t="inlineStr">
        <is>
          <t>所有Gold Link给予目标矿物的横向加成系数 ×1.25。</t>
        </is>
      </c>
      <c r="F15" s="15" t="inlineStr">
        <is>
          <t>升华扩展 I</t>
        </is>
      </c>
      <c r="G15" s="15" t="inlineStr">
        <is>
          <t>统计已购买Link集合；不要逐条重复写倍率。</t>
        </is>
      </c>
    </row>
    <row r="16">
      <c r="A16" s="15" t="inlineStr">
        <is>
          <t>gold_council</t>
        </is>
      </c>
      <c r="B16" s="15" t="inlineStr">
        <is>
          <t>黄金矿业议会</t>
        </is>
      </c>
      <c r="C16" s="15" t="inlineStr">
        <is>
          <t>7条Gold Link全部购买且gold_owned ≥ 50</t>
        </is>
      </c>
      <c r="D16" s="15" t="n">
        <v>1000000000</v>
      </c>
      <c r="E16" s="15" t="inlineStr">
        <is>
          <t>金矿自动建筑产量 ×4，并开启黄金研究终点。</t>
        </is>
      </c>
      <c r="F16" s="15" t="inlineStr">
        <is>
          <t>升华扩展 I</t>
        </is>
      </c>
      <c r="G16" s="15" t="inlineStr">
        <is>
          <t>独立于15层常规×2升级，属于Gold专属乘区。</t>
        </is>
      </c>
    </row>
    <row r="17">
      <c r="A17" s="15" t="inlineStr">
        <is>
          <t>gold_collective_vein</t>
        </is>
      </c>
      <c r="B17" s="15" t="inlineStr">
        <is>
          <t>集体黄金矿脉</t>
        </is>
      </c>
      <c r="C17" s="15" t="inlineStr">
        <is>
          <t>gold_owned ≥ 100</t>
        </is>
      </c>
      <c r="D17" s="15" t="n">
        <v>100000000000</v>
      </c>
      <c r="E17" s="15" t="inlineStr">
        <is>
          <t>每座Gold的基础CPS额外增加 0.02 × gold_owned；该额外基础值进入常规升级之前。</t>
        </is>
      </c>
      <c r="F17" s="15" t="inlineStr">
        <is>
          <t>大数阶段</t>
        </is>
      </c>
      <c r="G17" s="15" t="inlineStr">
        <is>
          <t>需要显式上限，避免二次项与15层×2共同失控。</t>
        </is>
      </c>
    </row>
    <row r="19" ht="25" customHeight="1">
      <c r="A19" s="12" t="inlineStr">
        <is>
          <t>矿物对矿物 Synergy I / II</t>
        </is>
      </c>
    </row>
    <row r="20" ht="34" customHeight="1">
      <c r="A20" s="14" t="inlineStr">
        <is>
          <t>Node_ID</t>
        </is>
      </c>
      <c r="B20" s="14" t="inlineStr">
        <is>
          <t>配对</t>
        </is>
      </c>
      <c r="C20" s="14" t="inlineStr">
        <is>
          <t>阶段</t>
        </is>
      </c>
      <c r="D20" s="14" t="inlineStr">
        <is>
          <t>双方门槛</t>
        </is>
      </c>
      <c r="E20" s="14" t="inlineStr">
        <is>
          <t>成本</t>
        </is>
      </c>
      <c r="F20" s="14" t="inlineStr">
        <is>
          <t>低价方规则</t>
        </is>
      </c>
      <c r="G20" s="14" t="inlineStr">
        <is>
          <t>高价方规则</t>
        </is>
      </c>
      <c r="H20" s="14" t="inlineStr">
        <is>
          <t>TargetPayback</t>
        </is>
      </c>
      <c r="I20" s="14" t="inlineStr">
        <is>
          <t>Advanced前置</t>
        </is>
      </c>
      <c r="J20" s="14" t="inlineStr">
        <is>
          <t>设计目的</t>
        </is>
      </c>
    </row>
    <row r="21">
      <c r="A21" s="15" t="inlineStr">
        <is>
          <t>synergy_i_coal_diamond</t>
        </is>
      </c>
      <c r="B21" s="15" t="inlineStr">
        <is>
          <t>coal&lt;-&gt;diamond</t>
        </is>
      </c>
      <c r="C21" s="15" t="inlineStr">
        <is>
          <t>I</t>
        </is>
      </c>
      <c r="D21" s="15" t="n">
        <v>15</v>
      </c>
      <c r="E21" s="15" t="n">
        <v>21000000</v>
      </c>
      <c r="F21" s="15" t="inlineStr">
        <is>
          <t>1 + 5%×高价方Owned</t>
        </is>
      </c>
      <c r="G21" s="15" t="inlineStr">
        <is>
          <t>1 + 0.1%×低价方Owned</t>
        </is>
      </c>
      <c r="H21" s="15" t="inlineStr">
        <is>
          <t>600s</t>
        </is>
      </c>
      <c r="I21" s="15" t="inlineStr">
        <is>
          <t>meta_synergy_vol1</t>
        </is>
      </c>
      <c r="J21" s="15" t="inlineStr">
        <is>
          <t>高阶矿显著复活低阶矿；低阶矿只轻推高阶矿。</t>
        </is>
      </c>
    </row>
    <row r="22">
      <c r="A22" s="15" t="inlineStr">
        <is>
          <t>synergy_i_iron_obsidian</t>
        </is>
      </c>
      <c r="B22" s="15" t="inlineStr">
        <is>
          <t>iron&lt;-&gt;obsidian</t>
        </is>
      </c>
      <c r="C22" s="15" t="inlineStr">
        <is>
          <t>I</t>
        </is>
      </c>
      <c r="D22" s="15" t="n">
        <v>15</v>
      </c>
      <c r="E22" s="15" t="n">
        <v>3900000</v>
      </c>
      <c r="F22" s="15" t="inlineStr">
        <is>
          <t>1 + 5%×高价方Owned</t>
        </is>
      </c>
      <c r="G22" s="15" t="inlineStr">
        <is>
          <t>1 + 0.1%×低价方Owned</t>
        </is>
      </c>
      <c r="H22" s="15" t="inlineStr">
        <is>
          <t>600s</t>
        </is>
      </c>
      <c r="I22" s="15" t="inlineStr">
        <is>
          <t>meta_synergy_vol1</t>
        </is>
      </c>
      <c r="J22" s="15" t="inlineStr">
        <is>
          <t>高阶矿显著复活低阶矿；低阶矿只轻推高阶矿。</t>
        </is>
      </c>
    </row>
    <row r="23">
      <c r="A23" s="15" t="inlineStr">
        <is>
          <t>synergy_i_zinc_crystal</t>
        </is>
      </c>
      <c r="B23" s="15" t="inlineStr">
        <is>
          <t>zinc&lt;-&gt;crystal</t>
        </is>
      </c>
      <c r="C23" s="15" t="inlineStr">
        <is>
          <t>I</t>
        </is>
      </c>
      <c r="D23" s="15" t="n">
        <v>15</v>
      </c>
      <c r="E23" s="15" t="n">
        <v>1800000</v>
      </c>
      <c r="F23" s="15" t="inlineStr">
        <is>
          <t>1 + 5%×高价方Owned</t>
        </is>
      </c>
      <c r="G23" s="15" t="inlineStr">
        <is>
          <t>1 + 0.1%×低价方Owned</t>
        </is>
      </c>
      <c r="H23" s="15" t="inlineStr">
        <is>
          <t>600s</t>
        </is>
      </c>
      <c r="I23" s="15" t="inlineStr">
        <is>
          <t>meta_synergy_vol1</t>
        </is>
      </c>
      <c r="J23" s="15" t="inlineStr">
        <is>
          <t>高阶矿显著复活低阶矿；低阶矿只轻推高阶矿。</t>
        </is>
      </c>
    </row>
    <row r="24">
      <c r="A24" s="15" t="inlineStr">
        <is>
          <t>synergy_i_gold_cat</t>
        </is>
      </c>
      <c r="B24" s="15" t="inlineStr">
        <is>
          <t>gold&lt;-&gt;cat</t>
        </is>
      </c>
      <c r="C24" s="15" t="inlineStr">
        <is>
          <t>I</t>
        </is>
      </c>
      <c r="D24" s="15" t="n">
        <v>15</v>
      </c>
      <c r="E24" s="15" t="n">
        <v>130000000</v>
      </c>
      <c r="F24" s="15" t="inlineStr">
        <is>
          <t>1 + 5%×高价方Owned</t>
        </is>
      </c>
      <c r="G24" s="15" t="inlineStr">
        <is>
          <t>1 + 0.1%×低价方Owned</t>
        </is>
      </c>
      <c r="H24" s="15" t="inlineStr">
        <is>
          <t>600s</t>
        </is>
      </c>
      <c r="I24" s="15" t="inlineStr">
        <is>
          <t>meta_synergy_vol1</t>
        </is>
      </c>
      <c r="J24" s="15" t="inlineStr">
        <is>
          <t>高阶矿显著复活低阶矿；低阶矿只轻推高阶矿。</t>
        </is>
      </c>
    </row>
    <row r="25">
      <c r="A25" s="15" t="inlineStr">
        <is>
          <t>synergy_ii_coal_obsidian</t>
        </is>
      </c>
      <c r="B25" s="15" t="inlineStr">
        <is>
          <t>coal&lt;-&gt;obsidian</t>
        </is>
      </c>
      <c r="C25" s="15" t="inlineStr">
        <is>
          <t>II</t>
        </is>
      </c>
      <c r="D25" s="15" t="n">
        <v>75</v>
      </c>
      <c r="E25" s="15" t="n">
        <v>570000000</v>
      </c>
      <c r="F25" s="15" t="inlineStr">
        <is>
          <t>1 + 5%×高价方Owned</t>
        </is>
      </c>
      <c r="G25" s="15" t="inlineStr">
        <is>
          <t>1 + 0.1%×低价方Owned</t>
        </is>
      </c>
      <c r="H25" s="15" t="inlineStr">
        <is>
          <t>900s</t>
        </is>
      </c>
      <c r="I25" s="15" t="inlineStr">
        <is>
          <t>meta_synergy_vol2</t>
        </is>
      </c>
      <c r="J25" s="15" t="inlineStr">
        <is>
          <t>高阶矿显著复活低阶矿；低阶矿只轻推高阶矿。</t>
        </is>
      </c>
    </row>
    <row r="26">
      <c r="A26" s="15" t="inlineStr">
        <is>
          <t>synergy_ii_iron_diamond</t>
        </is>
      </c>
      <c r="B26" s="15" t="inlineStr">
        <is>
          <t>iron&lt;-&gt;diamond</t>
        </is>
      </c>
      <c r="C26" s="15" t="inlineStr">
        <is>
          <t>II</t>
        </is>
      </c>
      <c r="D26" s="15" t="n">
        <v>75</v>
      </c>
      <c r="E26" s="15" t="n">
        <v>3200000000</v>
      </c>
      <c r="F26" s="15" t="inlineStr">
        <is>
          <t>1 + 5%×高价方Owned</t>
        </is>
      </c>
      <c r="G26" s="15" t="inlineStr">
        <is>
          <t>1 + 0.1%×低价方Owned</t>
        </is>
      </c>
      <c r="H26" s="15" t="inlineStr">
        <is>
          <t>900s</t>
        </is>
      </c>
      <c r="I26" s="15" t="inlineStr">
        <is>
          <t>meta_synergy_vol2</t>
        </is>
      </c>
      <c r="J26" s="15" t="inlineStr">
        <is>
          <t>高阶矿显著复活低阶矿；低阶矿只轻推高阶矿。</t>
        </is>
      </c>
    </row>
    <row r="27">
      <c r="A27" s="15" t="inlineStr">
        <is>
          <t>synergy_ii_zinc_cat</t>
        </is>
      </c>
      <c r="B27" s="15" t="inlineStr">
        <is>
          <t>zinc&lt;-&gt;cat</t>
        </is>
      </c>
      <c r="C27" s="15" t="inlineStr">
        <is>
          <t>II</t>
        </is>
      </c>
      <c r="D27" s="15" t="n">
        <v>75</v>
      </c>
      <c r="E27" s="15" t="n">
        <v>18000000000</v>
      </c>
      <c r="F27" s="15" t="inlineStr">
        <is>
          <t>1 + 5%×高价方Owned</t>
        </is>
      </c>
      <c r="G27" s="15" t="inlineStr">
        <is>
          <t>1 + 0.1%×低价方Owned</t>
        </is>
      </c>
      <c r="H27" s="15" t="inlineStr">
        <is>
          <t>900s</t>
        </is>
      </c>
      <c r="I27" s="15" t="inlineStr">
        <is>
          <t>meta_synergy_vol2</t>
        </is>
      </c>
      <c r="J27" s="15" t="inlineStr">
        <is>
          <t>高阶矿显著复活低阶矿；低阶矿只轻推高阶矿。</t>
        </is>
      </c>
    </row>
    <row r="28">
      <c r="A28" s="15" t="inlineStr">
        <is>
          <t>synergy_ii_gold_crystal</t>
        </is>
      </c>
      <c r="B28" s="15" t="inlineStr">
        <is>
          <t>gold&lt;-&gt;crystal</t>
        </is>
      </c>
      <c r="C28" s="15" t="inlineStr">
        <is>
          <t>II</t>
        </is>
      </c>
      <c r="D28" s="15" t="n">
        <v>75</v>
      </c>
      <c r="E28" s="15" t="n">
        <v>1100000000</v>
      </c>
      <c r="F28" s="15" t="inlineStr">
        <is>
          <t>1 + 5%×高价方Owned</t>
        </is>
      </c>
      <c r="G28" s="15" t="inlineStr">
        <is>
          <t>1 + 0.1%×低价方Owned</t>
        </is>
      </c>
      <c r="H28" s="15" t="inlineStr">
        <is>
          <t>900s</t>
        </is>
      </c>
      <c r="I28" s="15" t="inlineStr">
        <is>
          <t>meta_synergy_vol2</t>
        </is>
      </c>
      <c r="J28" s="15" t="inlineStr">
        <is>
          <t>高阶矿显著复活低阶矿；低阶矿只轻推高阶矿。</t>
        </is>
      </c>
    </row>
  </sheetData>
  <mergeCells count="4">
    <mergeCell ref="A13:L13"/>
    <mergeCell ref="A19:L19"/>
    <mergeCell ref="A2:L2"/>
    <mergeCell ref="A1:L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A15" r:id="rId8"/>
    <hyperlink xmlns:r="http://schemas.openxmlformats.org/officeDocument/2006/relationships" ref="A16" r:id="rId9"/>
    <hyperlink xmlns:r="http://schemas.openxmlformats.org/officeDocument/2006/relationships" ref="A17" r:id="rId10"/>
    <hyperlink xmlns:r="http://schemas.openxmlformats.org/officeDocument/2006/relationships" ref="A21" r:id="rId11"/>
    <hyperlink xmlns:r="http://schemas.openxmlformats.org/officeDocument/2006/relationships" ref="A22" r:id="rId12"/>
    <hyperlink xmlns:r="http://schemas.openxmlformats.org/officeDocument/2006/relationships" ref="A23" r:id="rId13"/>
    <hyperlink xmlns:r="http://schemas.openxmlformats.org/officeDocument/2006/relationships" ref="A24" r:id="rId14"/>
    <hyperlink xmlns:r="http://schemas.openxmlformats.org/officeDocument/2006/relationships" ref="A25" r:id="rId15"/>
    <hyperlink xmlns:r="http://schemas.openxmlformats.org/officeDocument/2006/relationships" ref="A26" r:id="rId16"/>
    <hyperlink xmlns:r="http://schemas.openxmlformats.org/officeDocument/2006/relationships" ref="A27" r:id="rId17"/>
    <hyperlink xmlns:r="http://schemas.openxmlformats.org/officeDocument/2006/relationships" ref="A28" r:id="rId18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19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2" customWidth="1" min="4" max="4"/>
    <col width="28" customWidth="1" min="5" max="5"/>
    <col width="11" customWidth="1" min="6" max="6"/>
    <col width="13" customWidth="1" min="7" max="7"/>
    <col width="16" customWidth="1" min="8" max="8"/>
    <col width="11" customWidth="1" min="9" max="9"/>
    <col width="14" customWidth="1" min="10" max="10"/>
    <col width="16" customWidth="1" min="11" max="11"/>
    <col width="12" customWidth="1" min="12" max="12"/>
    <col width="15" customWidth="1" min="13" max="13"/>
    <col width="17" customWidth="1" min="14" max="14"/>
    <col width="35" customWidth="1" min="15" max="15"/>
  </cols>
  <sheetData>
    <row r="1" ht="34" customHeight="1">
      <c r="A1" s="1" t="inlineStr">
        <is>
          <t>11 种地块 × 自动矿协同</t>
        </is>
      </c>
    </row>
    <row r="2" ht="31" customHeight="1">
      <c r="A2" s="2" t="inlineStr">
        <is>
          <t>每种现有地块都有 10/50/100 块三个独立按钮；协同只数已放置且与中心连通的地块。</t>
        </is>
      </c>
    </row>
    <row r="4" ht="34" customHeight="1">
      <c r="A4" s="14" t="inlineStr">
        <is>
          <t>Tile_ID</t>
        </is>
      </c>
      <c r="B4" s="14" t="inlineStr">
        <is>
          <t>名称</t>
        </is>
      </c>
      <c r="C4" s="14" t="inlineStr">
        <is>
          <t>当前行为</t>
        </is>
      </c>
      <c r="D4" s="14" t="inlineStr">
        <is>
          <t>作用域</t>
        </is>
      </c>
      <c r="E4" s="14" t="inlineStr">
        <is>
          <t>目标自动矿</t>
        </is>
      </c>
      <c r="F4" s="14" t="inlineStr">
        <is>
          <t>I门槛</t>
        </is>
      </c>
      <c r="G4" s="14" t="inlineStr">
        <is>
          <t>I倍率/10</t>
        </is>
      </c>
      <c r="H4" s="14" t="inlineStr">
        <is>
          <t>I成本</t>
        </is>
      </c>
      <c r="I4" s="14" t="inlineStr">
        <is>
          <t>II门槛</t>
        </is>
      </c>
      <c r="J4" s="14" t="inlineStr">
        <is>
          <t>II倍率/10</t>
        </is>
      </c>
      <c r="K4" s="14" t="inlineStr">
        <is>
          <t>II成本</t>
        </is>
      </c>
      <c r="L4" s="14" t="inlineStr">
        <is>
          <t>III门槛</t>
        </is>
      </c>
      <c r="M4" s="14" t="inlineStr">
        <is>
          <t>III倍率/10</t>
        </is>
      </c>
      <c r="N4" s="14" t="inlineStr">
        <is>
          <t>III成本</t>
        </is>
      </c>
      <c r="O4" s="14" t="inlineStr">
        <is>
          <t>设计备注</t>
        </is>
      </c>
    </row>
    <row r="5">
      <c r="A5" s="15" t="inlineStr">
        <is>
          <t>dirt</t>
        </is>
      </c>
      <c r="B5" s="15" t="inlineStr">
        <is>
          <t>泥土</t>
        </is>
      </c>
      <c r="C5" s="15" t="inlineStr">
        <is>
          <t>无效果</t>
        </is>
      </c>
      <c r="D5" s="15" t="inlineStr">
        <is>
          <t>TARGET</t>
        </is>
      </c>
      <c r="E5" s="15" t="inlineStr">
        <is>
          <t>煤矿</t>
        </is>
      </c>
      <c r="F5" s="15" t="n">
        <v>10</v>
      </c>
      <c r="G5" s="55" t="n">
        <v>0.1</v>
      </c>
      <c r="H5" s="15" t="n">
        <v>1800</v>
      </c>
      <c r="I5" s="15" t="n">
        <v>50</v>
      </c>
      <c r="J5" s="55" t="n">
        <v>0.15</v>
      </c>
      <c r="K5" s="15" t="n">
        <v>130000</v>
      </c>
      <c r="L5" s="15" t="n">
        <v>100</v>
      </c>
      <c r="M5" s="55" t="n">
        <v>0.2</v>
      </c>
      <c r="N5" s="15" t="n">
        <v>2900000</v>
      </c>
      <c r="O5" s="15" t="inlineStr">
        <is>
          <t>最多10组；后续档位替换上一档每组倍率。</t>
        </is>
      </c>
    </row>
    <row r="6">
      <c r="A6" s="15" t="inlineStr">
        <is>
          <t>grass</t>
        </is>
      </c>
      <c r="B6" s="15" t="inlineStr">
        <is>
          <t>草地</t>
        </is>
      </c>
      <c r="C6" s="15" t="inlineStr">
        <is>
          <t>手挖伤害×1.5；开局9块</t>
        </is>
      </c>
      <c r="D6" s="15" t="inlineStr">
        <is>
          <t>TARGET</t>
        </is>
      </c>
      <c r="E6" s="15" t="inlineStr">
        <is>
          <t>金矿</t>
        </is>
      </c>
      <c r="F6" s="15" t="n">
        <v>10</v>
      </c>
      <c r="G6" s="55" t="n">
        <v>0.1</v>
      </c>
      <c r="H6" s="15" t="n">
        <v>850000</v>
      </c>
      <c r="I6" s="15" t="n">
        <v>50</v>
      </c>
      <c r="J6" s="55" t="n">
        <v>0.15</v>
      </c>
      <c r="K6" s="15" t="n">
        <v>63000000</v>
      </c>
      <c r="L6" s="15" t="n">
        <v>100</v>
      </c>
      <c r="M6" s="55" t="n">
        <v>0.2</v>
      </c>
      <c r="N6" s="15" t="n">
        <v>1400000000</v>
      </c>
      <c r="O6" s="15" t="inlineStr">
        <is>
          <t>玩家指定：每10个草地提升金矿收益。</t>
        </is>
      </c>
    </row>
    <row r="7">
      <c r="A7" s="15" t="inlineStr">
        <is>
          <t>stone</t>
        </is>
      </c>
      <c r="B7" s="15" t="inlineStr">
        <is>
          <t>石头</t>
        </is>
      </c>
      <c r="C7" s="15" t="inlineStr">
        <is>
          <t>同格矿物结算×1.5</t>
        </is>
      </c>
      <c r="D7" s="15" t="inlineStr">
        <is>
          <t>TARGET</t>
        </is>
      </c>
      <c r="E7" s="15" t="inlineStr">
        <is>
          <t>铁矿</t>
        </is>
      </c>
      <c r="F7" s="15" t="n">
        <v>10</v>
      </c>
      <c r="G7" s="55" t="n">
        <v>0.1</v>
      </c>
      <c r="H7" s="15" t="n">
        <v>18000</v>
      </c>
      <c r="I7" s="15" t="n">
        <v>50</v>
      </c>
      <c r="J7" s="55" t="n">
        <v>0.15</v>
      </c>
      <c r="K7" s="15" t="n">
        <v>1300000</v>
      </c>
      <c r="L7" s="15" t="n">
        <v>100</v>
      </c>
      <c r="M7" s="55" t="n">
        <v>0.2</v>
      </c>
      <c r="N7" s="15" t="n">
        <v>29000000</v>
      </c>
      <c r="O7" s="15" t="inlineStr">
        <is>
          <t>最多10组；后续档位替换上一档每组倍率。</t>
        </is>
      </c>
    </row>
    <row r="8">
      <c r="A8" s="15" t="inlineStr">
        <is>
          <t>water</t>
        </is>
      </c>
      <c r="B8" s="15" t="inlineStr">
        <is>
          <t>水域</t>
        </is>
      </c>
      <c r="C8" s="15" t="inlineStr">
        <is>
          <t>落矿沉没，返还10%</t>
        </is>
      </c>
      <c r="D8" s="15" t="inlineStr">
        <is>
          <t>TARGET</t>
        </is>
      </c>
      <c r="E8" s="15" t="inlineStr">
        <is>
          <t>锌矿</t>
        </is>
      </c>
      <c r="F8" s="15" t="n">
        <v>10</v>
      </c>
      <c r="G8" s="55" t="n">
        <v>0.1</v>
      </c>
      <c r="H8" s="15" t="n">
        <v>140000</v>
      </c>
      <c r="I8" s="15" t="n">
        <v>50</v>
      </c>
      <c r="J8" s="55" t="n">
        <v>0.15</v>
      </c>
      <c r="K8" s="15" t="n">
        <v>11000000</v>
      </c>
      <c r="L8" s="15" t="n">
        <v>100</v>
      </c>
      <c r="M8" s="55" t="n">
        <v>0.2</v>
      </c>
      <c r="N8" s="15" t="n">
        <v>230000000</v>
      </c>
      <c r="O8" s="15" t="inlineStr">
        <is>
          <t>最多10组；后续档位替换上一档每组倍率。</t>
        </is>
      </c>
    </row>
    <row r="9">
      <c r="A9" s="15" t="inlineStr">
        <is>
          <t>fire</t>
        </is>
      </c>
      <c r="B9" s="15" t="inlineStr">
        <is>
          <t>熔岩</t>
        </is>
      </c>
      <c r="C9" s="15" t="inlineStr">
        <is>
          <t>每1秒同格10伤害</t>
        </is>
      </c>
      <c r="D9" s="15" t="inlineStr">
        <is>
          <t>GLOBAL</t>
        </is>
      </c>
      <c r="E9" s="15" t="inlineStr">
        <is>
          <t>煤矿、铁矿、锌矿、金矿、水晶矿、黑曜石、钻石矿、猫矿</t>
        </is>
      </c>
      <c r="F9" s="15" t="n">
        <v>10</v>
      </c>
      <c r="G9" s="55" t="n">
        <v>0.02</v>
      </c>
      <c r="H9" s="15" t="n">
        <v>190000000</v>
      </c>
      <c r="I9" s="15" t="n">
        <v>50</v>
      </c>
      <c r="J9" s="55" t="n">
        <v>0.03</v>
      </c>
      <c r="K9" s="15" t="n">
        <v>14000000000</v>
      </c>
      <c r="L9" s="15" t="n">
        <v>100</v>
      </c>
      <c r="M9" s="55" t="n">
        <v>0.04</v>
      </c>
      <c r="N9" s="15" t="n">
        <v>310000000000</v>
      </c>
      <c r="O9" s="15" t="inlineStr">
        <is>
          <t>最多10组；后续档位替换上一档每组倍率。</t>
        </is>
      </c>
    </row>
    <row r="10">
      <c r="A10" s="15" t="inlineStr">
        <is>
          <t>push</t>
        </is>
      </c>
      <c r="B10" s="15" t="inlineStr">
        <is>
          <t>传送带</t>
        </is>
      </c>
      <c r="C10" s="15" t="inlineStr">
        <is>
          <t>每2秒随机推矿</t>
        </is>
      </c>
      <c r="D10" s="15" t="inlineStr">
        <is>
          <t>GROUP</t>
        </is>
      </c>
      <c r="E10" s="15" t="inlineStr">
        <is>
          <t>煤矿、铁矿、锌矿、金矿</t>
        </is>
      </c>
      <c r="F10" s="15" t="n">
        <v>10</v>
      </c>
      <c r="G10" s="55" t="n">
        <v>0.03</v>
      </c>
      <c r="H10" s="15" t="n">
        <v>300000</v>
      </c>
      <c r="I10" s="15" t="n">
        <v>50</v>
      </c>
      <c r="J10" s="55" t="n">
        <v>0.05</v>
      </c>
      <c r="K10" s="15" t="n">
        <v>30000000</v>
      </c>
      <c r="L10" s="15" t="n">
        <v>100</v>
      </c>
      <c r="M10" s="55" t="n">
        <v>0.07000000000000001</v>
      </c>
      <c r="N10" s="15" t="n">
        <v>650000000</v>
      </c>
      <c r="O10" s="15" t="inlineStr">
        <is>
          <t>最多10组；后续档位替换上一档每组倍率。</t>
        </is>
      </c>
    </row>
    <row r="11">
      <c r="A11" s="15" t="inlineStr">
        <is>
          <t>pull</t>
        </is>
      </c>
      <c r="B11" s="15" t="inlineStr">
        <is>
          <t>磁吸</t>
        </is>
      </c>
      <c r="C11" s="15" t="inlineStr">
        <is>
          <t>每2秒吸邻格矿</t>
        </is>
      </c>
      <c r="D11" s="15" t="inlineStr">
        <is>
          <t>GROUP</t>
        </is>
      </c>
      <c r="E11" s="15" t="inlineStr">
        <is>
          <t>水晶矿、黑曜石、钻石矿、猫矿</t>
        </is>
      </c>
      <c r="F11" s="15" t="n">
        <v>10</v>
      </c>
      <c r="G11" s="55" t="n">
        <v>0.03</v>
      </c>
      <c r="H11" s="15" t="n">
        <v>290000000</v>
      </c>
      <c r="I11" s="15" t="n">
        <v>50</v>
      </c>
      <c r="J11" s="55" t="n">
        <v>0.05</v>
      </c>
      <c r="K11" s="15" t="n">
        <v>29000000000</v>
      </c>
      <c r="L11" s="15" t="n">
        <v>100</v>
      </c>
      <c r="M11" s="55" t="n">
        <v>0.07000000000000001</v>
      </c>
      <c r="N11" s="15" t="n">
        <v>620000000000</v>
      </c>
      <c r="O11" s="15" t="inlineStr">
        <is>
          <t>最多10组；后续档位替换上一档每组倍率。</t>
        </is>
      </c>
    </row>
    <row r="12">
      <c r="A12" s="15" t="inlineStr">
        <is>
          <t>volcano_stable</t>
        </is>
      </c>
      <c r="B12" s="15" t="inlineStr">
        <is>
          <t>稳定火山</t>
        </is>
      </c>
      <c r="C12" s="15" t="inlineStr">
        <is>
          <t>每2秒对四邻30伤害</t>
        </is>
      </c>
      <c r="D12" s="15" t="inlineStr">
        <is>
          <t>TARGET</t>
        </is>
      </c>
      <c r="E12" s="15" t="inlineStr">
        <is>
          <t>黑曜石</t>
        </is>
      </c>
      <c r="F12" s="15" t="n">
        <v>10</v>
      </c>
      <c r="G12" s="55" t="n">
        <v>0.1</v>
      </c>
      <c r="H12" s="15" t="n">
        <v>25000000</v>
      </c>
      <c r="I12" s="15" t="n">
        <v>50</v>
      </c>
      <c r="J12" s="55" t="n">
        <v>0.15</v>
      </c>
      <c r="K12" s="15" t="n">
        <v>1900000000</v>
      </c>
      <c r="L12" s="15" t="n">
        <v>100</v>
      </c>
      <c r="M12" s="55" t="n">
        <v>0.2</v>
      </c>
      <c r="N12" s="15" t="n">
        <v>40000000000</v>
      </c>
      <c r="O12" s="15" t="inlineStr">
        <is>
          <t>最多10组；后续档位替换上一档每组倍率。</t>
        </is>
      </c>
    </row>
    <row r="13">
      <c r="A13" s="15" t="inlineStr">
        <is>
          <t>upgrade</t>
        </is>
      </c>
      <c r="B13" s="15" t="inlineStr">
        <is>
          <t>升级台</t>
        </is>
      </c>
      <c r="C13" s="15" t="inlineStr">
        <is>
          <t>每3秒令同格实体矿+1级</t>
        </is>
      </c>
      <c r="D13" s="15" t="inlineStr">
        <is>
          <t>TARGET</t>
        </is>
      </c>
      <c r="E13" s="15" t="inlineStr">
        <is>
          <t>猫矿</t>
        </is>
      </c>
      <c r="F13" s="15" t="n">
        <v>10</v>
      </c>
      <c r="G13" s="55" t="n">
        <v>0.1</v>
      </c>
      <c r="H13" s="15" t="n">
        <v>790000000</v>
      </c>
      <c r="I13" s="15" t="n">
        <v>50</v>
      </c>
      <c r="J13" s="55" t="n">
        <v>0.15</v>
      </c>
      <c r="K13" s="15" t="n">
        <v>59000000000</v>
      </c>
      <c r="L13" s="15" t="n">
        <v>100</v>
      </c>
      <c r="M13" s="55" t="n">
        <v>0.2</v>
      </c>
      <c r="N13" s="15" t="n">
        <v>1300000000000</v>
      </c>
      <c r="O13" s="15" t="inlineStr">
        <is>
          <t>最多10组；后续档位替换上一档每组倍率。</t>
        </is>
      </c>
    </row>
    <row r="14">
      <c r="A14" s="15" t="inlineStr">
        <is>
          <t>rarity</t>
        </is>
      </c>
      <c r="B14" s="15" t="inlineStr">
        <is>
          <t>稀有矿脉</t>
        </is>
      </c>
      <c r="C14" s="15" t="inlineStr">
        <is>
          <t>当前硬过滤rarity≥3</t>
        </is>
      </c>
      <c r="D14" s="15" t="inlineStr">
        <is>
          <t>TARGET</t>
        </is>
      </c>
      <c r="E14" s="15" t="inlineStr">
        <is>
          <t>钻石矿</t>
        </is>
      </c>
      <c r="F14" s="15" t="n">
        <v>10</v>
      </c>
      <c r="G14" s="55" t="n">
        <v>0.1</v>
      </c>
      <c r="H14" s="15" t="n">
        <v>140000000</v>
      </c>
      <c r="I14" s="15" t="n">
        <v>50</v>
      </c>
      <c r="J14" s="55" t="n">
        <v>0.15</v>
      </c>
      <c r="K14" s="15" t="n">
        <v>11000000000</v>
      </c>
      <c r="L14" s="15" t="n">
        <v>100</v>
      </c>
      <c r="M14" s="55" t="n">
        <v>0.2</v>
      </c>
      <c r="N14" s="15" t="n">
        <v>220000000000</v>
      </c>
      <c r="O14" s="15" t="inlineStr">
        <is>
          <t>最多10组；后续档位替换上一档每组倍率。</t>
        </is>
      </c>
    </row>
    <row r="15">
      <c r="A15" s="15" t="inlineStr">
        <is>
          <t>spawn</t>
        </is>
      </c>
      <c r="B15" s="15" t="inlineStr">
        <is>
          <t>水晶矿脉</t>
        </is>
      </c>
      <c r="C15" s="15" t="inlineStr">
        <is>
          <t>每5秒固定生成crystal实体矿</t>
        </is>
      </c>
      <c r="D15" s="15" t="inlineStr">
        <is>
          <t>TARGET</t>
        </is>
      </c>
      <c r="E15" s="15" t="inlineStr">
        <is>
          <t>水晶矿</t>
        </is>
      </c>
      <c r="F15" s="15" t="n">
        <v>10</v>
      </c>
      <c r="G15" s="55" t="n">
        <v>0.1</v>
      </c>
      <c r="H15" s="15" t="n">
        <v>4700000</v>
      </c>
      <c r="I15" s="15" t="n">
        <v>50</v>
      </c>
      <c r="J15" s="55" t="n">
        <v>0.15</v>
      </c>
      <c r="K15" s="15" t="n">
        <v>350000000</v>
      </c>
      <c r="L15" s="15" t="n">
        <v>100</v>
      </c>
      <c r="M15" s="55" t="n">
        <v>0.2</v>
      </c>
      <c r="N15" s="15" t="n">
        <v>7500000000</v>
      </c>
      <c r="O15" s="15" t="inlineStr">
        <is>
          <t>最多10组；后续档位替换上一档每组倍率。</t>
        </is>
      </c>
    </row>
    <row r="18" ht="25" customHeight="1">
      <c r="A18" s="11" t="inlineStr">
        <is>
          <t>计算规则与防爆约束</t>
        </is>
      </c>
    </row>
    <row r="19" ht="28" customHeight="1">
      <c r="A19" s="21" t="inlineStr">
        <is>
          <t>• ActiveGroups = min(floor(PlacedConnectedCount/10), 10)。Owned 或 Inventory 不参与协同计算。</t>
        </is>
      </c>
    </row>
    <row r="20" ht="28" customHeight="1">
      <c r="A20" s="21" t="inlineStr">
        <is>
          <t>• I/II/III 是替换式每组比例，不是 10%+15%+20% 全部叠加；Grass III 在100块时为 1+10×20%=×3。</t>
        </is>
      </c>
    </row>
    <row r="21" ht="28" customHeight="1">
      <c r="A21" s="21" t="inlineStr">
        <is>
          <t>• TARGET 只加一种矿；GROUP 加指定4种；GLOBAL 加全部8种，因此对应倍率分别更高/更低。</t>
        </is>
      </c>
    </row>
    <row r="22" ht="28" customHeight="1">
      <c r="A22" s="21" t="inlineStr">
        <is>
          <t>• 协同价 = 解锁阶段假设下的增量 CPS × 目标回本（600/900/1200秒）；正式平衡用存档遥测重算。</t>
        </is>
      </c>
    </row>
  </sheetData>
  <mergeCells count="7">
    <mergeCell ref="A20:O20"/>
    <mergeCell ref="A2:O2"/>
    <mergeCell ref="A19:O19"/>
    <mergeCell ref="A1:O1"/>
    <mergeCell ref="A22:O22"/>
    <mergeCell ref="A18:O18"/>
    <mergeCell ref="A21:O21"/>
  </mergeCells>
  <hyperlinks>
    <hyperlink xmlns:r="http://schemas.openxmlformats.org/officeDocument/2006/relationships" ref="H5" r:id="rId1"/>
    <hyperlink xmlns:r="http://schemas.openxmlformats.org/officeDocument/2006/relationships" ref="K5" r:id="rId2"/>
    <hyperlink xmlns:r="http://schemas.openxmlformats.org/officeDocument/2006/relationships" ref="N5" r:id="rId3"/>
    <hyperlink xmlns:r="http://schemas.openxmlformats.org/officeDocument/2006/relationships" ref="H6" r:id="rId4"/>
    <hyperlink xmlns:r="http://schemas.openxmlformats.org/officeDocument/2006/relationships" ref="K6" r:id="rId5"/>
    <hyperlink xmlns:r="http://schemas.openxmlformats.org/officeDocument/2006/relationships" ref="N6" r:id="rId6"/>
    <hyperlink xmlns:r="http://schemas.openxmlformats.org/officeDocument/2006/relationships" ref="H7" r:id="rId7"/>
    <hyperlink xmlns:r="http://schemas.openxmlformats.org/officeDocument/2006/relationships" ref="K7" r:id="rId8"/>
    <hyperlink xmlns:r="http://schemas.openxmlformats.org/officeDocument/2006/relationships" ref="N7" r:id="rId9"/>
    <hyperlink xmlns:r="http://schemas.openxmlformats.org/officeDocument/2006/relationships" ref="H8" r:id="rId10"/>
    <hyperlink xmlns:r="http://schemas.openxmlformats.org/officeDocument/2006/relationships" ref="K8" r:id="rId11"/>
    <hyperlink xmlns:r="http://schemas.openxmlformats.org/officeDocument/2006/relationships" ref="N8" r:id="rId12"/>
    <hyperlink xmlns:r="http://schemas.openxmlformats.org/officeDocument/2006/relationships" ref="H9" r:id="rId13"/>
    <hyperlink xmlns:r="http://schemas.openxmlformats.org/officeDocument/2006/relationships" ref="K9" r:id="rId14"/>
    <hyperlink xmlns:r="http://schemas.openxmlformats.org/officeDocument/2006/relationships" ref="N9" r:id="rId15"/>
    <hyperlink xmlns:r="http://schemas.openxmlformats.org/officeDocument/2006/relationships" ref="H10" r:id="rId16"/>
    <hyperlink xmlns:r="http://schemas.openxmlformats.org/officeDocument/2006/relationships" ref="K10" r:id="rId17"/>
    <hyperlink xmlns:r="http://schemas.openxmlformats.org/officeDocument/2006/relationships" ref="N10" r:id="rId18"/>
    <hyperlink xmlns:r="http://schemas.openxmlformats.org/officeDocument/2006/relationships" ref="H11" r:id="rId19"/>
    <hyperlink xmlns:r="http://schemas.openxmlformats.org/officeDocument/2006/relationships" ref="K11" r:id="rId20"/>
    <hyperlink xmlns:r="http://schemas.openxmlformats.org/officeDocument/2006/relationships" ref="N11" r:id="rId21"/>
    <hyperlink xmlns:r="http://schemas.openxmlformats.org/officeDocument/2006/relationships" ref="H12" r:id="rId22"/>
    <hyperlink xmlns:r="http://schemas.openxmlformats.org/officeDocument/2006/relationships" ref="K12" r:id="rId23"/>
    <hyperlink xmlns:r="http://schemas.openxmlformats.org/officeDocument/2006/relationships" ref="N12" r:id="rId24"/>
    <hyperlink xmlns:r="http://schemas.openxmlformats.org/officeDocument/2006/relationships" ref="H13" r:id="rId25"/>
    <hyperlink xmlns:r="http://schemas.openxmlformats.org/officeDocument/2006/relationships" ref="K13" r:id="rId26"/>
    <hyperlink xmlns:r="http://schemas.openxmlformats.org/officeDocument/2006/relationships" ref="N13" r:id="rId27"/>
    <hyperlink xmlns:r="http://schemas.openxmlformats.org/officeDocument/2006/relationships" ref="H14" r:id="rId28"/>
    <hyperlink xmlns:r="http://schemas.openxmlformats.org/officeDocument/2006/relationships" ref="K14" r:id="rId29"/>
    <hyperlink xmlns:r="http://schemas.openxmlformats.org/officeDocument/2006/relationships" ref="N14" r:id="rId30"/>
    <hyperlink xmlns:r="http://schemas.openxmlformats.org/officeDocument/2006/relationships" ref="H15" r:id="rId31"/>
    <hyperlink xmlns:r="http://schemas.openxmlformats.org/officeDocument/2006/relationships" ref="K15" r:id="rId32"/>
    <hyperlink xmlns:r="http://schemas.openxmlformats.org/officeDocument/2006/relationships" ref="N15" r:id="rId33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34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7" customWidth="1" min="4" max="4"/>
    <col width="13" customWidth="1" min="5" max="5"/>
    <col width="11" customWidth="1" min="6" max="6"/>
    <col width="13" customWidth="1" min="7" max="7"/>
    <col width="20" customWidth="1" min="8" max="8"/>
    <col width="13" customWidth="1" min="9" max="9"/>
    <col width="13" customWidth="1" min="10" max="10"/>
    <col width="16" customWidth="1" min="11" max="11"/>
    <col width="16" customWidth="1" min="12" max="12"/>
    <col width="23" customWidth="1" min="13" max="13"/>
    <col width="28" customWidth="1" min="14" max="14"/>
    <col width="25" customWidth="1" min="15" max="15"/>
  </cols>
  <sheetData>
    <row r="1" ht="34" customHeight="1">
      <c r="A1" s="1" t="inlineStr">
        <is>
          <t>地块购买、库存与放置经济</t>
        </is>
      </c>
    </row>
    <row r="2" ht="31" customHeight="1">
      <c r="A2" s="2" t="inlineStr">
        <is>
          <t>当前项目免费无限放置；V3 必须先建立这层，地块数量协同才有真实成本。黄色为输入。</t>
        </is>
      </c>
    </row>
    <row r="4" ht="34" customHeight="1">
      <c r="A4" s="14" t="inlineStr">
        <is>
          <t>Tile_ID</t>
        </is>
      </c>
      <c r="B4" s="14" t="inlineStr">
        <is>
          <t>名称</t>
        </is>
      </c>
      <c r="C4" s="14" t="inlineStr">
        <is>
          <t>Behavior</t>
        </is>
      </c>
      <c r="D4" s="14" t="inlineStr">
        <is>
          <t>BasePlaceCost</t>
        </is>
      </c>
      <c r="E4" s="14" t="inlineStr">
        <is>
          <t>FreeOwned</t>
        </is>
      </c>
      <c r="F4" s="14" t="inlineStr">
        <is>
          <t>Owned*</t>
        </is>
      </c>
      <c r="G4" s="14" t="inlineStr">
        <is>
          <t>Inventory*</t>
        </is>
      </c>
      <c r="H4" s="14" t="inlineStr">
        <is>
          <t>PlacedConnected*</t>
        </is>
      </c>
      <c r="I4" s="14" t="inlineStr">
        <is>
          <t>PriceGrowth</t>
        </is>
      </c>
      <c r="J4" s="14" t="inlineStr">
        <is>
          <t>PaidOwned</t>
        </is>
      </c>
      <c r="K4" s="14" t="inlineStr">
        <is>
          <t>NextPrice</t>
        </is>
      </c>
      <c r="L4" s="14" t="inlineStr">
        <is>
          <t>Bulk10</t>
        </is>
      </c>
      <c r="M4" s="14" t="inlineStr">
        <is>
          <t>状态校验</t>
        </is>
      </c>
      <c r="N4" s="14" t="inlineStr">
        <is>
          <t>解锁节点</t>
        </is>
      </c>
      <c r="O4" s="14" t="inlineStr">
        <is>
          <t>目标矿</t>
        </is>
      </c>
    </row>
    <row r="5">
      <c r="A5" s="15" t="inlineStr">
        <is>
          <t>dirt</t>
        </is>
      </c>
      <c r="B5" s="15" t="inlineStr">
        <is>
          <t>泥土</t>
        </is>
      </c>
      <c r="C5" s="15" t="inlineStr">
        <is>
          <t>NONE</t>
        </is>
      </c>
      <c r="D5" s="15" t="n">
        <v>10</v>
      </c>
      <c r="E5" s="15" t="n">
        <v>0</v>
      </c>
      <c r="F5" s="25" t="n">
        <v>0</v>
      </c>
      <c r="G5" s="25" t="n">
        <v>0</v>
      </c>
      <c r="H5" s="25" t="n">
        <v>0</v>
      </c>
      <c r="I5" s="15" t="n">
        <v>1.15</v>
      </c>
      <c r="J5" s="27">
        <f>MAX(0,F5-E5)</f>
        <v/>
      </c>
      <c r="K5" s="27">
        <f>ROUNDUP(D5*POWER(I5,J5),0)</f>
        <v/>
      </c>
      <c r="L5" s="27">
        <f>ROUNDUP(D5*POWER(I5,J5)*(POWER(I5,10)-1)/(I5-1),0)</f>
        <v/>
      </c>
      <c r="M5" s="27">
        <f>IF(F5=G5+H5,"OK","库存+已放置≠Owned")</f>
        <v/>
      </c>
      <c r="N5" s="15" t="inlineStr">
        <is>
          <t>unlock_tile_dirt</t>
        </is>
      </c>
      <c r="O5" s="15" t="inlineStr">
        <is>
          <t>coal</t>
        </is>
      </c>
    </row>
    <row r="6">
      <c r="A6" s="15" t="inlineStr">
        <is>
          <t>grass</t>
        </is>
      </c>
      <c r="B6" s="15" t="inlineStr">
        <is>
          <t>草地</t>
        </is>
      </c>
      <c r="C6" s="15" t="inlineStr">
        <is>
          <t>GRASS</t>
        </is>
      </c>
      <c r="D6" s="15" t="n">
        <v>25</v>
      </c>
      <c r="E6" s="15" t="n">
        <v>9</v>
      </c>
      <c r="F6" s="25" t="n">
        <v>9</v>
      </c>
      <c r="G6" s="25" t="n">
        <v>0</v>
      </c>
      <c r="H6" s="25" t="n">
        <v>9</v>
      </c>
      <c r="I6" s="15" t="n">
        <v>1.15</v>
      </c>
      <c r="J6" s="27">
        <f>MAX(0,F6-E6)</f>
        <v/>
      </c>
      <c r="K6" s="27">
        <f>ROUNDUP(D6*POWER(I6,J6),0)</f>
        <v/>
      </c>
      <c r="L6" s="27">
        <f>ROUNDUP(D6*POWER(I6,J6)*(POWER(I6,10)-1)/(I6-1),0)</f>
        <v/>
      </c>
      <c r="M6" s="27">
        <f>IF(F6=G6+H6,"OK","库存+已放置≠Owned")</f>
        <v/>
      </c>
      <c r="N6" s="15" t="inlineStr">
        <is>
          <t>unlock_tile_grass</t>
        </is>
      </c>
      <c r="O6" s="15" t="inlineStr">
        <is>
          <t>gold</t>
        </is>
      </c>
    </row>
    <row r="7">
      <c r="A7" s="15" t="inlineStr">
        <is>
          <t>stone</t>
        </is>
      </c>
      <c r="B7" s="15" t="inlineStr">
        <is>
          <t>石头</t>
        </is>
      </c>
      <c r="C7" s="15" t="inlineStr">
        <is>
          <t>STONE</t>
        </is>
      </c>
      <c r="D7" s="15" t="n">
        <v>250</v>
      </c>
      <c r="E7" s="15" t="n">
        <v>0</v>
      </c>
      <c r="F7" s="25" t="n">
        <v>0</v>
      </c>
      <c r="G7" s="25" t="n">
        <v>0</v>
      </c>
      <c r="H7" s="25" t="n">
        <v>0</v>
      </c>
      <c r="I7" s="15" t="n">
        <v>1.15</v>
      </c>
      <c r="J7" s="27">
        <f>MAX(0,F7-E7)</f>
        <v/>
      </c>
      <c r="K7" s="27">
        <f>ROUNDUP(D7*POWER(I7,J7),0)</f>
        <v/>
      </c>
      <c r="L7" s="27">
        <f>ROUNDUP(D7*POWER(I7,J7)*(POWER(I7,10)-1)/(I7-1),0)</f>
        <v/>
      </c>
      <c r="M7" s="27">
        <f>IF(F7=G7+H7,"OK","库存+已放置≠Owned")</f>
        <v/>
      </c>
      <c r="N7" s="15" t="inlineStr">
        <is>
          <t>unlock_tile_stone</t>
        </is>
      </c>
      <c r="O7" s="15" t="inlineStr">
        <is>
          <t>iron</t>
        </is>
      </c>
    </row>
    <row r="8">
      <c r="A8" s="15" t="inlineStr">
        <is>
          <t>water</t>
        </is>
      </c>
      <c r="B8" s="15" t="inlineStr">
        <is>
          <t>水域</t>
        </is>
      </c>
      <c r="C8" s="15" t="inlineStr">
        <is>
          <t>WATER</t>
        </is>
      </c>
      <c r="D8" s="15" t="n">
        <v>2500</v>
      </c>
      <c r="E8" s="15" t="n">
        <v>0</v>
      </c>
      <c r="F8" s="25" t="n">
        <v>0</v>
      </c>
      <c r="G8" s="25" t="n">
        <v>0</v>
      </c>
      <c r="H8" s="25" t="n">
        <v>0</v>
      </c>
      <c r="I8" s="15" t="n">
        <v>1.15</v>
      </c>
      <c r="J8" s="27">
        <f>MAX(0,F8-E8)</f>
        <v/>
      </c>
      <c r="K8" s="27">
        <f>ROUNDUP(D8*POWER(I8,J8),0)</f>
        <v/>
      </c>
      <c r="L8" s="27">
        <f>ROUNDUP(D8*POWER(I8,J8)*(POWER(I8,10)-1)/(I8-1),0)</f>
        <v/>
      </c>
      <c r="M8" s="27">
        <f>IF(F8=G8+H8,"OK","库存+已放置≠Owned")</f>
        <v/>
      </c>
      <c r="N8" s="15" t="inlineStr">
        <is>
          <t>unlock_tile_water</t>
        </is>
      </c>
      <c r="O8" s="15" t="inlineStr">
        <is>
          <t>zinc</t>
        </is>
      </c>
    </row>
    <row r="9">
      <c r="A9" s="15" t="inlineStr">
        <is>
          <t>fire</t>
        </is>
      </c>
      <c r="B9" s="15" t="inlineStr">
        <is>
          <t>熔岩</t>
        </is>
      </c>
      <c r="C9" s="15" t="inlineStr">
        <is>
          <t>FIRE</t>
        </is>
      </c>
      <c r="D9" s="15" t="n">
        <v>25000</v>
      </c>
      <c r="E9" s="15" t="n">
        <v>0</v>
      </c>
      <c r="F9" s="25" t="n">
        <v>0</v>
      </c>
      <c r="G9" s="25" t="n">
        <v>0</v>
      </c>
      <c r="H9" s="25" t="n">
        <v>0</v>
      </c>
      <c r="I9" s="15" t="n">
        <v>1.15</v>
      </c>
      <c r="J9" s="27">
        <f>MAX(0,F9-E9)</f>
        <v/>
      </c>
      <c r="K9" s="27">
        <f>ROUNDUP(D9*POWER(I9,J9),0)</f>
        <v/>
      </c>
      <c r="L9" s="27">
        <f>ROUNDUP(D9*POWER(I9,J9)*(POWER(I9,10)-1)/(I9-1),0)</f>
        <v/>
      </c>
      <c r="M9" s="27">
        <f>IF(F9=G9+H9,"OK","库存+已放置≠Owned")</f>
        <v/>
      </c>
      <c r="N9" s="15" t="inlineStr">
        <is>
          <t>unlock_tile_fire</t>
        </is>
      </c>
      <c r="O9" s="15" t="inlineStr">
        <is>
          <t>coal,iron,zinc,gold,crystal,obsidian,diamond,cat</t>
        </is>
      </c>
    </row>
    <row r="10">
      <c r="A10" s="15" t="inlineStr">
        <is>
          <t>push</t>
        </is>
      </c>
      <c r="B10" s="15" t="inlineStr">
        <is>
          <t>传送带</t>
        </is>
      </c>
      <c r="C10" s="15" t="inlineStr">
        <is>
          <t>PUSH</t>
        </is>
      </c>
      <c r="D10" s="15" t="n">
        <v>100000</v>
      </c>
      <c r="E10" s="15" t="n">
        <v>0</v>
      </c>
      <c r="F10" s="25" t="n">
        <v>0</v>
      </c>
      <c r="G10" s="25" t="n">
        <v>0</v>
      </c>
      <c r="H10" s="25" t="n">
        <v>0</v>
      </c>
      <c r="I10" s="15" t="n">
        <v>1.15</v>
      </c>
      <c r="J10" s="27">
        <f>MAX(0,F10-E10)</f>
        <v/>
      </c>
      <c r="K10" s="27">
        <f>ROUNDUP(D10*POWER(I10,J10),0)</f>
        <v/>
      </c>
      <c r="L10" s="27">
        <f>ROUNDUP(D10*POWER(I10,J10)*(POWER(I10,10)-1)/(I10-1),0)</f>
        <v/>
      </c>
      <c r="M10" s="27">
        <f>IF(F10=G10+H10,"OK","库存+已放置≠Owned")</f>
        <v/>
      </c>
      <c r="N10" s="15" t="inlineStr">
        <is>
          <t>unlock_tile_push</t>
        </is>
      </c>
      <c r="O10" s="15" t="inlineStr">
        <is>
          <t>coal,iron,zinc,gold</t>
        </is>
      </c>
    </row>
    <row r="11">
      <c r="A11" s="15" t="inlineStr">
        <is>
          <t>pull</t>
        </is>
      </c>
      <c r="B11" s="15" t="inlineStr">
        <is>
          <t>磁吸</t>
        </is>
      </c>
      <c r="C11" s="15" t="inlineStr">
        <is>
          <t>PULL</t>
        </is>
      </c>
      <c r="D11" s="15" t="n">
        <v>250000</v>
      </c>
      <c r="E11" s="15" t="n">
        <v>0</v>
      </c>
      <c r="F11" s="25" t="n">
        <v>0</v>
      </c>
      <c r="G11" s="25" t="n">
        <v>0</v>
      </c>
      <c r="H11" s="25" t="n">
        <v>0</v>
      </c>
      <c r="I11" s="15" t="n">
        <v>1.15</v>
      </c>
      <c r="J11" s="27">
        <f>MAX(0,F11-E11)</f>
        <v/>
      </c>
      <c r="K11" s="27">
        <f>ROUNDUP(D11*POWER(I11,J11),0)</f>
        <v/>
      </c>
      <c r="L11" s="27">
        <f>ROUNDUP(D11*POWER(I11,J11)*(POWER(I11,10)-1)/(I11-1),0)</f>
        <v/>
      </c>
      <c r="M11" s="27">
        <f>IF(F11=G11+H11,"OK","库存+已放置≠Owned")</f>
        <v/>
      </c>
      <c r="N11" s="15" t="inlineStr">
        <is>
          <t>unlock_tile_pull</t>
        </is>
      </c>
      <c r="O11" s="15" t="inlineStr">
        <is>
          <t>crystal,obsidian,diamond,cat</t>
        </is>
      </c>
    </row>
    <row r="12">
      <c r="A12" s="15" t="inlineStr">
        <is>
          <t>volcano_stable</t>
        </is>
      </c>
      <c r="B12" s="15" t="inlineStr">
        <is>
          <t>稳定火山</t>
        </is>
      </c>
      <c r="C12" s="15" t="inlineStr">
        <is>
          <t>VOLCANO</t>
        </is>
      </c>
      <c r="D12" s="15" t="n">
        <v>500000</v>
      </c>
      <c r="E12" s="15" t="n">
        <v>0</v>
      </c>
      <c r="F12" s="25" t="n">
        <v>0</v>
      </c>
      <c r="G12" s="25" t="n">
        <v>0</v>
      </c>
      <c r="H12" s="25" t="n">
        <v>0</v>
      </c>
      <c r="I12" s="15" t="n">
        <v>1.15</v>
      </c>
      <c r="J12" s="27">
        <f>MAX(0,F12-E12)</f>
        <v/>
      </c>
      <c r="K12" s="27">
        <f>ROUNDUP(D12*POWER(I12,J12),0)</f>
        <v/>
      </c>
      <c r="L12" s="27">
        <f>ROUNDUP(D12*POWER(I12,J12)*(POWER(I12,10)-1)/(I12-1),0)</f>
        <v/>
      </c>
      <c r="M12" s="27">
        <f>IF(F12=G12+H12,"OK","库存+已放置≠Owned")</f>
        <v/>
      </c>
      <c r="N12" s="15" t="inlineStr">
        <is>
          <t>unlock_tile_volcano_stable</t>
        </is>
      </c>
      <c r="O12" s="15" t="inlineStr">
        <is>
          <t>obsidian</t>
        </is>
      </c>
    </row>
    <row r="13">
      <c r="A13" s="15" t="inlineStr">
        <is>
          <t>upgrade</t>
        </is>
      </c>
      <c r="B13" s="15" t="inlineStr">
        <is>
          <t>升级台</t>
        </is>
      </c>
      <c r="C13" s="15" t="inlineStr">
        <is>
          <t>UPGRADE</t>
        </is>
      </c>
      <c r="D13" s="15" t="n">
        <v>2500000</v>
      </c>
      <c r="E13" s="15" t="n">
        <v>0</v>
      </c>
      <c r="F13" s="25" t="n">
        <v>0</v>
      </c>
      <c r="G13" s="25" t="n">
        <v>0</v>
      </c>
      <c r="H13" s="25" t="n">
        <v>0</v>
      </c>
      <c r="I13" s="15" t="n">
        <v>1.15</v>
      </c>
      <c r="J13" s="27">
        <f>MAX(0,F13-E13)</f>
        <v/>
      </c>
      <c r="K13" s="27">
        <f>ROUNDUP(D13*POWER(I13,J13),0)</f>
        <v/>
      </c>
      <c r="L13" s="27">
        <f>ROUNDUP(D13*POWER(I13,J13)*(POWER(I13,10)-1)/(I13-1),0)</f>
        <v/>
      </c>
      <c r="M13" s="27">
        <f>IF(F13=G13+H13,"OK","库存+已放置≠Owned")</f>
        <v/>
      </c>
      <c r="N13" s="15" t="inlineStr">
        <is>
          <t>unlock_tile_upgrade</t>
        </is>
      </c>
      <c r="O13" s="15" t="inlineStr">
        <is>
          <t>cat</t>
        </is>
      </c>
    </row>
    <row r="14">
      <c r="A14" s="15" t="inlineStr">
        <is>
          <t>rarity</t>
        </is>
      </c>
      <c r="B14" s="15" t="inlineStr">
        <is>
          <t>稀有矿脉</t>
        </is>
      </c>
      <c r="C14" s="15" t="inlineStr">
        <is>
          <t>RARITY</t>
        </is>
      </c>
      <c r="D14" s="15" t="n">
        <v>5000000</v>
      </c>
      <c r="E14" s="15" t="n">
        <v>0</v>
      </c>
      <c r="F14" s="25" t="n">
        <v>0</v>
      </c>
      <c r="G14" s="25" t="n">
        <v>0</v>
      </c>
      <c r="H14" s="25" t="n">
        <v>0</v>
      </c>
      <c r="I14" s="15" t="n">
        <v>1.15</v>
      </c>
      <c r="J14" s="27">
        <f>MAX(0,F14-E14)</f>
        <v/>
      </c>
      <c r="K14" s="27">
        <f>ROUNDUP(D14*POWER(I14,J14),0)</f>
        <v/>
      </c>
      <c r="L14" s="27">
        <f>ROUNDUP(D14*POWER(I14,J14)*(POWER(I14,10)-1)/(I14-1),0)</f>
        <v/>
      </c>
      <c r="M14" s="27">
        <f>IF(F14=G14+H14,"OK","库存+已放置≠Owned")</f>
        <v/>
      </c>
      <c r="N14" s="15" t="inlineStr">
        <is>
          <t>unlock_tile_rarity</t>
        </is>
      </c>
      <c r="O14" s="15" t="inlineStr">
        <is>
          <t>diamond</t>
        </is>
      </c>
    </row>
    <row r="15">
      <c r="A15" s="15" t="inlineStr">
        <is>
          <t>spawn</t>
        </is>
      </c>
      <c r="B15" s="15" t="inlineStr">
        <is>
          <t>水晶矿脉</t>
        </is>
      </c>
      <c r="C15" s="15" t="inlineStr">
        <is>
          <t>SPAWN</t>
        </is>
      </c>
      <c r="D15" s="15" t="n">
        <v>10000000</v>
      </c>
      <c r="E15" s="15" t="n">
        <v>0</v>
      </c>
      <c r="F15" s="25" t="n">
        <v>0</v>
      </c>
      <c r="G15" s="25" t="n">
        <v>0</v>
      </c>
      <c r="H15" s="25" t="n">
        <v>0</v>
      </c>
      <c r="I15" s="15" t="n">
        <v>1.15</v>
      </c>
      <c r="J15" s="27">
        <f>MAX(0,F15-E15)</f>
        <v/>
      </c>
      <c r="K15" s="27">
        <f>ROUNDUP(D15*POWER(I15,J15),0)</f>
        <v/>
      </c>
      <c r="L15" s="27">
        <f>ROUNDUP(D15*POWER(I15,J15)*(POWER(I15,10)-1)/(I15-1),0)</f>
        <v/>
      </c>
      <c r="M15" s="27">
        <f>IF(F15=G15+H15,"OK","库存+已放置≠Owned")</f>
        <v/>
      </c>
      <c r="N15" s="15" t="inlineStr">
        <is>
          <t>unlock_tile_spawn</t>
        </is>
      </c>
      <c r="O15" s="15" t="inlineStr">
        <is>
          <t>crystal</t>
        </is>
      </c>
    </row>
    <row r="18" ht="25" customHeight="1">
      <c r="A18" s="6" t="inlineStr">
        <is>
          <t>放置规则</t>
        </is>
      </c>
    </row>
    <row r="19" ht="28" customHeight="1">
      <c r="A19" s="21" t="inlineStr">
        <is>
          <t>• 购买只增加 Owned 与 Inventory；放置执行 Inventory−1、Placed+1；拆除执行 Placed−1、Inventory+1。</t>
        </is>
      </c>
    </row>
    <row r="20" ht="28" customHeight="1">
      <c r="A20" s="21" t="inlineStr">
        <is>
          <t>• 拆除不自动退款，避免反复买卖套利；若以后加入出售，建议只返当前边际价格的25%。</t>
        </is>
      </c>
    </row>
    <row r="21" ht="28" customHeight="1">
      <c r="A21" s="21" t="inlineStr">
        <is>
          <t>• 草地开局9块记为 FreeOwned=9；只有第10块起按 BasePlaceCost×1.15^PaidOwned 购买。</t>
        </is>
      </c>
    </row>
    <row r="22" ht="28" customHeight="1">
      <c r="A22" s="21" t="inlineStr">
        <is>
          <t>• 协同只看 PlacedConnected，删除断开连接的地块后立即重算，避免远处库存式堆倍率。</t>
        </is>
      </c>
    </row>
  </sheetData>
  <mergeCells count="7">
    <mergeCell ref="A20:O20"/>
    <mergeCell ref="A2:O2"/>
    <mergeCell ref="A19:O19"/>
    <mergeCell ref="A1:O1"/>
    <mergeCell ref="A22:O22"/>
    <mergeCell ref="A18:O18"/>
    <mergeCell ref="A21:O21"/>
  </mergeCells>
  <conditionalFormatting sqref="M5:M15">
    <cfRule type="expression" priority="1" dxfId="0">
      <formula>M5&lt;&gt;"OK"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45"/>
  <sheetViews>
    <sheetView showGridLines="0" zoomScale="85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7" customWidth="1" min="3" max="3"/>
    <col width="16" customWidth="1" min="4" max="4"/>
    <col width="18" customWidth="1" min="5" max="5"/>
    <col width="14" customWidth="1" min="6" max="6"/>
    <col width="21" customWidth="1" min="7" max="7"/>
    <col width="19" customWidth="1" min="8" max="8"/>
    <col width="20" customWidth="1" min="9" max="9"/>
    <col width="20" customWidth="1" min="10" max="10"/>
    <col width="17" customWidth="1" min="11" max="11"/>
    <col width="21" customWidth="1" min="12" max="12"/>
    <col width="16" customWidth="1" min="13" max="13"/>
    <col width="35" customWidth="1" min="14" max="14"/>
    <col width="32" customWidth="1" min="15" max="15"/>
  </cols>
  <sheetData>
    <row r="1" ht="34" customHeight="1">
      <c r="A1" s="1" t="inlineStr">
        <is>
          <t>数值校验与参数控制台</t>
        </is>
      </c>
    </row>
    <row r="2" ht="31" customHeight="1">
      <c r="A2" s="2" t="inlineStr">
        <is>
          <t>这些是设计验算，不是完整玩家路径模拟。正式定稿应再用自动购买策略与真实存档遥测校准。</t>
        </is>
      </c>
    </row>
    <row r="4" ht="25" customHeight="1">
      <c r="A4" s="9" t="inlineStr">
        <is>
          <t>全局参数（黄色可改）</t>
        </is>
      </c>
    </row>
    <row r="5">
      <c r="A5" t="inlineStr">
        <is>
          <t>Gold自身Link模式</t>
        </is>
      </c>
      <c r="B5" s="56" t="inlineStr">
        <is>
          <t>压缩</t>
        </is>
      </c>
      <c r="C5" t="inlineStr">
        <is>
          <t>压缩：1+0.5×Links；原版：2^Links</t>
        </is>
      </c>
    </row>
    <row r="6">
      <c r="A6" t="inlineStr">
        <is>
          <t>建筑价格增长</t>
        </is>
      </c>
      <c r="B6" s="57" t="n">
        <v>1.15</v>
      </c>
      <c r="C6" t="inlineStr">
        <is>
          <t>Cookie Clicker 当前核心增长率</t>
        </is>
      </c>
    </row>
    <row r="7">
      <c r="A7" t="inlineStr">
        <is>
          <t>V3开局实体矿基线收入/秒</t>
        </is>
      </c>
      <c r="B7" s="58" t="n">
        <v>1</v>
      </c>
      <c r="C7" t="inlineStr">
        <is>
          <t>只解锁coal时：每2秒1矿×2金币；假设玩家能及时清理</t>
        </is>
      </c>
    </row>
    <row r="8">
      <c r="A8" t="inlineStr">
        <is>
          <t>int64 最大值</t>
        </is>
      </c>
      <c r="B8" s="59" t="n">
        <v>9.223372036854776e+18</v>
      </c>
      <c r="C8" t="inlineStr">
        <is>
          <t>超过即必须 BigNumber</t>
        </is>
      </c>
    </row>
    <row r="9">
      <c r="A9" t="inlineStr">
        <is>
          <t>升华基准 LifetimeCoins</t>
        </is>
      </c>
      <c r="B9" s="56" t="n">
        <v>1000000</v>
      </c>
      <c r="C9" t="inlineStr">
        <is>
          <t>Total=floor(10×(Lifetime/C)^(1/3))</t>
        </is>
      </c>
    </row>
    <row r="11" ht="25" customHeight="1">
      <c r="A11" s="3" t="inlineStr">
        <is>
          <t>每种矿的解锁与首座计算</t>
        </is>
      </c>
    </row>
    <row r="12" ht="34" customHeight="1">
      <c r="A12" s="14" t="inlineStr">
        <is>
          <t>矿</t>
        </is>
      </c>
      <c r="B12" s="14" t="inlineStr">
        <is>
          <t>UnlockCost</t>
        </is>
      </c>
      <c r="C12" s="14" t="inlineStr">
        <is>
          <t>BasePrice</t>
        </is>
      </c>
      <c r="D12" s="14" t="inlineStr">
        <is>
          <t>BaseCPS</t>
        </is>
      </c>
      <c r="E12" s="14" t="inlineStr">
        <is>
          <t>直接前置矿</t>
        </is>
      </c>
      <c r="F12" s="14" t="inlineStr">
        <is>
          <t>直接数量</t>
        </is>
      </c>
      <c r="G12" s="14" t="inlineStr">
        <is>
          <t>累计前置持有</t>
        </is>
      </c>
      <c r="H12" s="14" t="inlineStr">
        <is>
          <t>达门槛最低自动CPS</t>
        </is>
      </c>
      <c r="I12" s="14" t="inlineStr">
        <is>
          <t>门槛建筑库存成本</t>
        </is>
      </c>
      <c r="J12" s="14" t="inlineStr">
        <is>
          <t>Unlock+首座投入</t>
        </is>
      </c>
      <c r="K12" s="14" t="inlineStr">
        <is>
          <t>达门槛后等待秒</t>
        </is>
      </c>
      <c r="L12" s="14" t="inlineStr">
        <is>
          <t>首座静态回本秒</t>
        </is>
      </c>
      <c r="M12" s="14" t="inlineStr">
        <is>
          <t>Unlock+首座自身回本秒</t>
        </is>
      </c>
      <c r="N12" s="14" t="inlineStr">
        <is>
          <t>节奏判断</t>
        </is>
      </c>
      <c r="O12" s="14" t="inlineStr">
        <is>
          <t>公式/备注</t>
        </is>
      </c>
    </row>
    <row r="13">
      <c r="A13" s="15" t="inlineStr">
        <is>
          <t>煤矿</t>
        </is>
      </c>
      <c r="B13" s="15" t="n">
        <v>0</v>
      </c>
      <c r="C13" s="15" t="n">
        <v>75</v>
      </c>
      <c r="D13" s="15" t="n">
        <v>0.5</v>
      </c>
      <c r="E13" s="15" t="inlineStr">
        <is>
          <t>-</t>
        </is>
      </c>
      <c r="F13" s="15" t="n">
        <v>0</v>
      </c>
      <c r="G13" s="15" t="inlineStr">
        <is>
          <t>开局主动收入</t>
        </is>
      </c>
      <c r="H13" s="60" t="n">
        <v>1</v>
      </c>
      <c r="I13" s="60" t="n">
        <v>0</v>
      </c>
      <c r="J13" s="60" t="n">
        <v>75</v>
      </c>
      <c r="K13" s="60" t="n">
        <v>75</v>
      </c>
      <c r="L13" s="60" t="n">
        <v>150</v>
      </c>
      <c r="M13" s="60" t="n">
        <v>150</v>
      </c>
      <c r="N13" s="15" t="inlineStr">
        <is>
          <t>早期目标</t>
        </is>
      </c>
      <c r="O13" s="15" t="inlineStr">
        <is>
          <t>解锁价=BasePrice×0.5；门槛CPS按累计必需建筑、0个×2升级的保守值计算。</t>
        </is>
      </c>
    </row>
    <row r="14">
      <c r="A14" s="15" t="inlineStr">
        <is>
          <t>铁矿</t>
        </is>
      </c>
      <c r="B14" s="15" t="n">
        <v>250</v>
      </c>
      <c r="C14" s="15" t="n">
        <v>500</v>
      </c>
      <c r="D14" s="15" t="n">
        <v>5</v>
      </c>
      <c r="E14" s="15" t="inlineStr">
        <is>
          <t>coal</t>
        </is>
      </c>
      <c r="F14" s="15" t="n">
        <v>10</v>
      </c>
      <c r="G14" s="15" t="inlineStr">
        <is>
          <t>coal×10</t>
        </is>
      </c>
      <c r="H14" s="60" t="n">
        <v>5</v>
      </c>
      <c r="I14" s="60" t="n">
        <v>1522.778867853954</v>
      </c>
      <c r="J14" s="60" t="n">
        <v>750</v>
      </c>
      <c r="K14" s="60" t="n">
        <v>150</v>
      </c>
      <c r="L14" s="60" t="n">
        <v>100</v>
      </c>
      <c r="M14" s="60" t="n">
        <v>150</v>
      </c>
      <c r="N14" s="15" t="inlineStr">
        <is>
          <t>早期目标</t>
        </is>
      </c>
      <c r="O14" s="15" t="inlineStr">
        <is>
          <t>解锁价=BasePrice×0.5；门槛CPS按累计必需建筑、0个×2升级的保守值计算。</t>
        </is>
      </c>
    </row>
    <row r="15">
      <c r="A15" s="15" t="inlineStr">
        <is>
          <t>锌矿</t>
        </is>
      </c>
      <c r="B15" s="15" t="n">
        <v>2750</v>
      </c>
      <c r="C15" s="15" t="n">
        <v>5500</v>
      </c>
      <c r="D15" s="15" t="n">
        <v>40</v>
      </c>
      <c r="E15" s="15" t="inlineStr">
        <is>
          <t>iron</t>
        </is>
      </c>
      <c r="F15" s="15" t="n">
        <v>15</v>
      </c>
      <c r="G15" s="15" t="inlineStr">
        <is>
          <t>coal×10；iron×15</t>
        </is>
      </c>
      <c r="H15" s="60" t="n">
        <v>80</v>
      </c>
      <c r="I15" s="60" t="n">
        <v>25312.98429839504</v>
      </c>
      <c r="J15" s="60" t="n">
        <v>8250</v>
      </c>
      <c r="K15" s="60" t="n">
        <v>103.125</v>
      </c>
      <c r="L15" s="60" t="n">
        <v>137.5</v>
      </c>
      <c r="M15" s="60" t="n">
        <v>206.25</v>
      </c>
      <c r="N15" s="15" t="inlineStr">
        <is>
          <t>早期目标</t>
        </is>
      </c>
      <c r="O15" s="15" t="inlineStr">
        <is>
          <t>解锁价=BasePrice×0.5；门槛CPS按累计必需建筑、0个×2升级的保守值计算。</t>
        </is>
      </c>
    </row>
    <row r="16">
      <c r="A16" s="15" t="inlineStr">
        <is>
          <t>金矿</t>
        </is>
      </c>
      <c r="B16" s="15" t="n">
        <v>30000</v>
      </c>
      <c r="C16" s="15" t="n">
        <v>60000</v>
      </c>
      <c r="D16" s="15" t="n">
        <v>235</v>
      </c>
      <c r="E16" s="15" t="inlineStr">
        <is>
          <t>zinc</t>
        </is>
      </c>
      <c r="F16" s="15" t="n">
        <v>15</v>
      </c>
      <c r="G16" s="15" t="inlineStr">
        <is>
          <t>coal×10；iron×15；zinc×15</t>
        </is>
      </c>
      <c r="H16" s="60" t="n">
        <v>680</v>
      </c>
      <c r="I16" s="60" t="n">
        <v>287005.2440343469</v>
      </c>
      <c r="J16" s="60" t="n">
        <v>90000</v>
      </c>
      <c r="K16" s="60" t="n">
        <v>132.3529411764706</v>
      </c>
      <c r="L16" s="60" t="n">
        <v>255.3191489361702</v>
      </c>
      <c r="M16" s="60" t="n">
        <v>382.9787234042553</v>
      </c>
      <c r="N16" s="15" t="inlineStr">
        <is>
          <t>早期目标</t>
        </is>
      </c>
      <c r="O16" s="15" t="inlineStr">
        <is>
          <t>解锁价=BasePrice×0.5；门槛CPS按累计必需建筑、0个×2升级的保守值计算。</t>
        </is>
      </c>
    </row>
    <row r="17">
      <c r="A17" s="15" t="inlineStr">
        <is>
          <t>水晶矿</t>
        </is>
      </c>
      <c r="B17" s="15" t="n">
        <v>325000</v>
      </c>
      <c r="C17" s="15" t="n">
        <v>650000</v>
      </c>
      <c r="D17" s="15" t="n">
        <v>1300</v>
      </c>
      <c r="E17" s="15" t="inlineStr">
        <is>
          <t>gold</t>
        </is>
      </c>
      <c r="F17" s="15" t="n">
        <v>15</v>
      </c>
      <c r="G17" s="15" t="inlineStr">
        <is>
          <t>coal×10；iron×15；zinc×15；gold×15</t>
        </is>
      </c>
      <c r="H17" s="60" t="n">
        <v>4205</v>
      </c>
      <c r="I17" s="60" t="n">
        <v>3141829.895699278</v>
      </c>
      <c r="J17" s="60" t="n">
        <v>975000</v>
      </c>
      <c r="K17" s="60" t="n">
        <v>231.8668252080856</v>
      </c>
      <c r="L17" s="60" t="n">
        <v>500</v>
      </c>
      <c r="M17" s="60" t="n">
        <v>750</v>
      </c>
      <c r="N17" s="15" t="inlineStr">
        <is>
          <t>中期目标</t>
        </is>
      </c>
      <c r="O17" s="15" t="inlineStr">
        <is>
          <t>解锁价=BasePrice×0.5；门槛CPS按累计必需建筑、0个×2升级的保守值计算。</t>
        </is>
      </c>
    </row>
    <row r="18">
      <c r="A18" s="15" t="inlineStr">
        <is>
          <t>黑曜石</t>
        </is>
      </c>
      <c r="B18" s="15" t="n">
        <v>3500000</v>
      </c>
      <c r="C18" s="15" t="n">
        <v>7000000</v>
      </c>
      <c r="D18" s="15" t="n">
        <v>7000</v>
      </c>
      <c r="E18" s="15" t="inlineStr">
        <is>
          <t>crystal</t>
        </is>
      </c>
      <c r="F18" s="15" t="n">
        <v>15</v>
      </c>
      <c r="G18" s="15" t="inlineStr">
        <is>
          <t>coal×10；iron×15；zinc×15；gold×15；crystal×15</t>
        </is>
      </c>
      <c r="H18" s="60" t="n">
        <v>23705</v>
      </c>
      <c r="I18" s="60" t="n">
        <v>34069096.95540269</v>
      </c>
      <c r="J18" s="60" t="n">
        <v>10500000</v>
      </c>
      <c r="K18" s="60" t="n">
        <v>442.9445264712086</v>
      </c>
      <c r="L18" s="60" t="n">
        <v>1000</v>
      </c>
      <c r="M18" s="60" t="n">
        <v>1500</v>
      </c>
      <c r="N18" s="15" t="inlineStr">
        <is>
          <t>中期目标</t>
        </is>
      </c>
      <c r="O18" s="15" t="inlineStr">
        <is>
          <t>解锁价=BasePrice×0.5；门槛CPS按累计必需建筑、0个×2升级的保守值计算。</t>
        </is>
      </c>
    </row>
    <row r="19">
      <c r="A19" s="15" t="inlineStr">
        <is>
          <t>钻石矿</t>
        </is>
      </c>
      <c r="B19" s="15" t="n">
        <v>50000000</v>
      </c>
      <c r="C19" s="15" t="n">
        <v>100000000</v>
      </c>
      <c r="D19" s="15" t="n">
        <v>39000</v>
      </c>
      <c r="E19" s="15" t="inlineStr">
        <is>
          <t>obsidian</t>
        </is>
      </c>
      <c r="F19" s="15" t="n">
        <v>15</v>
      </c>
      <c r="G19" s="15" t="inlineStr">
        <is>
          <t>coal×10；iron×15；zinc×15；gold×15；crystal×15；obsidian×15</t>
        </is>
      </c>
      <c r="H19" s="60" t="n">
        <v>128705</v>
      </c>
      <c r="I19" s="60" t="n">
        <v>367131972.9829779</v>
      </c>
      <c r="J19" s="60" t="n">
        <v>150000000</v>
      </c>
      <c r="K19" s="60" t="n">
        <v>1165.455887494658</v>
      </c>
      <c r="L19" s="60" t="n">
        <v>2564.102564102564</v>
      </c>
      <c r="M19" s="60" t="n">
        <v>3846.153846153846</v>
      </c>
      <c r="N19" s="15" t="inlineStr">
        <is>
          <t>后期长目标</t>
        </is>
      </c>
      <c r="O19" s="15" t="inlineStr">
        <is>
          <t>解锁价=BasePrice×0.5；门槛CPS按累计必需建筑、0个×2升级的保守值计算。</t>
        </is>
      </c>
    </row>
    <row r="20">
      <c r="A20" s="15" t="inlineStr">
        <is>
          <t>猫矿</t>
        </is>
      </c>
      <c r="B20" s="15" t="n">
        <v>825000000</v>
      </c>
      <c r="C20" s="15" t="n">
        <v>1650000000</v>
      </c>
      <c r="D20" s="15" t="n">
        <v>220000</v>
      </c>
      <c r="E20" s="15" t="inlineStr">
        <is>
          <t>diamond</t>
        </is>
      </c>
      <c r="F20" s="15" t="n">
        <v>15</v>
      </c>
      <c r="G20" s="15" t="inlineStr">
        <is>
          <t>coal×10；iron×15；zinc×15；gold×15；crystal×15；obsidian×15；diamond×15</t>
        </is>
      </c>
      <c r="H20" s="60" t="n">
        <v>713705</v>
      </c>
      <c r="I20" s="60" t="n">
        <v>5125173059.091195</v>
      </c>
      <c r="J20" s="60" t="n">
        <v>2475000000</v>
      </c>
      <c r="K20" s="60" t="n">
        <v>3467.81933712108</v>
      </c>
      <c r="L20" s="60" t="n">
        <v>7500</v>
      </c>
      <c r="M20" s="60" t="n">
        <v>11250</v>
      </c>
      <c r="N20" s="15" t="inlineStr">
        <is>
          <t>终局长目标</t>
        </is>
      </c>
      <c r="O20" s="15" t="inlineStr">
        <is>
          <t>解锁价=BasePrice×0.5；门槛CPS按累计必需建筑、0个×2升级的保守值计算。</t>
        </is>
      </c>
    </row>
    <row r="23" ht="25" customHeight="1">
      <c r="A23" s="12" t="inlineStr">
        <is>
          <t>持有数量价格曲线</t>
        </is>
      </c>
    </row>
    <row r="24" ht="34" customHeight="1">
      <c r="A24" s="14" t="inlineStr">
        <is>
          <t>Owned</t>
        </is>
      </c>
      <c r="B24" s="14" t="inlineStr">
        <is>
          <t>煤矿</t>
        </is>
      </c>
      <c r="C24" s="14" t="inlineStr">
        <is>
          <t>铁矿</t>
        </is>
      </c>
      <c r="D24" s="14" t="inlineStr">
        <is>
          <t>锌矿</t>
        </is>
      </c>
      <c r="E24" s="14" t="inlineStr">
        <is>
          <t>金矿</t>
        </is>
      </c>
      <c r="F24" s="14" t="inlineStr">
        <is>
          <t>水晶矿</t>
        </is>
      </c>
      <c r="G24" s="14" t="inlineStr">
        <is>
          <t>黑曜石</t>
        </is>
      </c>
      <c r="H24" s="14" t="inlineStr">
        <is>
          <t>钻石矿</t>
        </is>
      </c>
      <c r="I24" s="14" t="inlineStr">
        <is>
          <t>猫矿</t>
        </is>
      </c>
      <c r="J24" s="14" t="inlineStr">
        <is>
          <t>最大值/int64</t>
        </is>
      </c>
      <c r="K24" s="14" t="inlineStr">
        <is>
          <t>BigNumber?</t>
        </is>
      </c>
    </row>
    <row r="25">
      <c r="A25" s="17" t="n">
        <v>0</v>
      </c>
      <c r="B25" s="61" t="n">
        <v>75</v>
      </c>
      <c r="C25" s="61" t="n">
        <v>500</v>
      </c>
      <c r="D25" s="61" t="n">
        <v>5500</v>
      </c>
      <c r="E25" s="61" t="n">
        <v>60000</v>
      </c>
      <c r="F25" s="61" t="n">
        <v>650000</v>
      </c>
      <c r="G25" s="61" t="n">
        <v>7000000</v>
      </c>
      <c r="H25" s="61" t="n">
        <v>100000000</v>
      </c>
      <c r="I25" s="61" t="n">
        <v>1650000000</v>
      </c>
      <c r="J25" s="62">
        <f>MAX(B25:I25)/$B$8</f>
        <v/>
      </c>
      <c r="K25" s="17">
        <f>IF(J25&gt;1,"是","否")</f>
        <v/>
      </c>
    </row>
    <row r="26">
      <c r="A26" s="17" t="n">
        <v>1</v>
      </c>
      <c r="B26" s="61" t="n">
        <v>86.25</v>
      </c>
      <c r="C26" s="61" t="n">
        <v>575</v>
      </c>
      <c r="D26" s="61" t="n">
        <v>6324.999999999999</v>
      </c>
      <c r="E26" s="61" t="n">
        <v>69000</v>
      </c>
      <c r="F26" s="61" t="n">
        <v>747500</v>
      </c>
      <c r="G26" s="61" t="n">
        <v>8049999.999999999</v>
      </c>
      <c r="H26" s="61" t="n">
        <v>115000000</v>
      </c>
      <c r="I26" s="61" t="n">
        <v>1897500000</v>
      </c>
      <c r="J26" s="62">
        <f>MAX(B26:I26)/$B$8</f>
        <v/>
      </c>
      <c r="K26" s="17">
        <f>IF(J26&gt;1,"是","否")</f>
        <v/>
      </c>
    </row>
    <row r="27">
      <c r="A27" s="17" t="n">
        <v>5</v>
      </c>
      <c r="B27" s="61" t="n">
        <v>150.8517890625</v>
      </c>
      <c r="C27" s="61" t="n">
        <v>1005.67859375</v>
      </c>
      <c r="D27" s="61" t="n">
        <v>11062.46453125</v>
      </c>
      <c r="E27" s="61" t="n">
        <v>120681.43125</v>
      </c>
      <c r="F27" s="61" t="n">
        <v>1307382.171875</v>
      </c>
      <c r="G27" s="61" t="n">
        <v>14079500.3125</v>
      </c>
      <c r="H27" s="61" t="n">
        <v>201135718.7499999</v>
      </c>
      <c r="I27" s="61" t="n">
        <v>3318739359.374999</v>
      </c>
      <c r="J27" s="62">
        <f>MAX(B27:I27)/$B$8</f>
        <v/>
      </c>
      <c r="K27" s="17">
        <f>IF(J27&gt;1,"是","否")</f>
        <v/>
      </c>
    </row>
    <row r="28">
      <c r="A28" s="17" t="n">
        <v>10</v>
      </c>
      <c r="B28" s="61" t="n">
        <v>303.416830178093</v>
      </c>
      <c r="C28" s="61" t="n">
        <v>2022.778867853953</v>
      </c>
      <c r="D28" s="61" t="n">
        <v>22250.56754639349</v>
      </c>
      <c r="E28" s="61" t="n">
        <v>242733.4641424744</v>
      </c>
      <c r="F28" s="61" t="n">
        <v>2629612.528210139</v>
      </c>
      <c r="G28" s="61" t="n">
        <v>28318904.14995535</v>
      </c>
      <c r="H28" s="61" t="n">
        <v>404555773.5707906</v>
      </c>
      <c r="I28" s="61" t="n">
        <v>6675170263.918046</v>
      </c>
      <c r="J28" s="62">
        <f>MAX(B28:I28)/$B$8</f>
        <v/>
      </c>
      <c r="K28" s="17">
        <f>IF(J28&gt;1,"是","否")</f>
        <v/>
      </c>
    </row>
    <row r="29">
      <c r="A29" s="17" t="n">
        <v>15</v>
      </c>
      <c r="B29" s="61" t="n">
        <v>610.2796221871741</v>
      </c>
      <c r="C29" s="61" t="n">
        <v>4068.530814581161</v>
      </c>
      <c r="D29" s="61" t="n">
        <v>44753.83896039276</v>
      </c>
      <c r="E29" s="61" t="n">
        <v>488223.6977497393</v>
      </c>
      <c r="F29" s="61" t="n">
        <v>5289090.058955509</v>
      </c>
      <c r="G29" s="61" t="n">
        <v>56959431.40413625</v>
      </c>
      <c r="H29" s="61" t="n">
        <v>813706162.9162321</v>
      </c>
      <c r="I29" s="61" t="n">
        <v>13426151688.11783</v>
      </c>
      <c r="J29" s="62">
        <f>MAX(B29:I29)/$B$8</f>
        <v/>
      </c>
      <c r="K29" s="17">
        <f>IF(J29&gt;1,"是","否")</f>
        <v/>
      </c>
    </row>
    <row r="30">
      <c r="A30" s="17" t="n">
        <v>25</v>
      </c>
      <c r="B30" s="61" t="n">
        <v>2468.921446484221</v>
      </c>
      <c r="C30" s="61" t="n">
        <v>16459.47630989481</v>
      </c>
      <c r="D30" s="61" t="n">
        <v>181054.2394088429</v>
      </c>
      <c r="E30" s="61" t="n">
        <v>1975137.157187377</v>
      </c>
      <c r="F30" s="61" t="n">
        <v>21397319.20286325</v>
      </c>
      <c r="G30" s="61" t="n">
        <v>230432668.3385273</v>
      </c>
      <c r="H30" s="61" t="n">
        <v>3291895261.978961</v>
      </c>
      <c r="I30" s="61" t="n">
        <v>54316271822.65286</v>
      </c>
      <c r="J30" s="62">
        <f>MAX(B30:I30)/$B$8</f>
        <v/>
      </c>
      <c r="K30" s="17">
        <f>IF(J30&gt;1,"是","否")</f>
        <v/>
      </c>
    </row>
    <row r="31">
      <c r="A31" s="17" t="n">
        <v>50</v>
      </c>
      <c r="B31" s="61" t="n">
        <v>81274.3081187965</v>
      </c>
      <c r="C31" s="61" t="n">
        <v>541828.7207919767</v>
      </c>
      <c r="D31" s="61" t="n">
        <v>5960115.928711744</v>
      </c>
      <c r="E31" s="61" t="n">
        <v>65019446.49503721</v>
      </c>
      <c r="F31" s="61" t="n">
        <v>704377337.0295697</v>
      </c>
      <c r="G31" s="61" t="n">
        <v>7585602091.087674</v>
      </c>
      <c r="H31" s="61" t="n">
        <v>108365744158.3953</v>
      </c>
      <c r="I31" s="61" t="n">
        <v>1788034778613.523</v>
      </c>
      <c r="J31" s="62">
        <f>MAX(B31:I31)/$B$8</f>
        <v/>
      </c>
      <c r="K31" s="17">
        <f>IF(J31&gt;1,"是","否")</f>
        <v/>
      </c>
    </row>
    <row r="32">
      <c r="A32" s="17" t="n">
        <v>75</v>
      </c>
      <c r="B32" s="61" t="n">
        <v>2675465.098168845</v>
      </c>
      <c r="C32" s="61" t="n">
        <v>17836433.9877923</v>
      </c>
      <c r="D32" s="61" t="n">
        <v>196200773.8657153</v>
      </c>
      <c r="E32" s="61" t="n">
        <v>2140372078.535076</v>
      </c>
      <c r="F32" s="61" t="n">
        <v>23187364184.12999</v>
      </c>
      <c r="G32" s="61" t="n">
        <v>249710075829.0922</v>
      </c>
      <c r="H32" s="61" t="n">
        <v>3567286797558.459</v>
      </c>
      <c r="I32" s="61" t="n">
        <v>58860232159714.58</v>
      </c>
      <c r="J32" s="62">
        <f>MAX(B32:I32)/$B$8</f>
        <v/>
      </c>
      <c r="K32" s="17">
        <f>IF(J32&gt;1,"是","否")</f>
        <v/>
      </c>
    </row>
    <row r="33">
      <c r="A33" s="17" t="n">
        <v>100</v>
      </c>
      <c r="B33" s="61" t="n">
        <v>88073508.80252095</v>
      </c>
      <c r="C33" s="61" t="n">
        <v>587156725.3501396</v>
      </c>
      <c r="D33" s="61" t="n">
        <v>6458723978.851537</v>
      </c>
      <c r="E33" s="61" t="n">
        <v>70458807042.01675</v>
      </c>
      <c r="F33" s="61" t="n">
        <v>763303742955.1815</v>
      </c>
      <c r="G33" s="61" t="n">
        <v>8220194154901.955</v>
      </c>
      <c r="H33" s="61" t="n">
        <v>117431345070027.9</v>
      </c>
      <c r="I33" s="61" t="n">
        <v>1937617193655461</v>
      </c>
      <c r="J33" s="62">
        <f>MAX(B33:I33)/$B$8</f>
        <v/>
      </c>
      <c r="K33" s="17">
        <f>IF(J33&gt;1,"是","否")</f>
        <v/>
      </c>
    </row>
    <row r="36" ht="25" customHeight="1">
      <c r="A36" s="11" t="inlineStr">
        <is>
          <t>BigNumber 边界</t>
        </is>
      </c>
    </row>
    <row r="37" ht="34" customHeight="1">
      <c r="A37" s="14" t="inlineStr">
        <is>
          <t>矿</t>
        </is>
      </c>
      <c r="B37" s="14" t="inlineStr">
        <is>
          <t>首个超过int64的常规升级Tier</t>
        </is>
      </c>
      <c r="C37" s="14" t="inlineStr">
        <is>
          <t>该Tier价格</t>
        </is>
      </c>
      <c r="D37" s="14" t="inlineStr">
        <is>
          <t>最高Tier价格</t>
        </is>
      </c>
      <c r="E37" s="14" t="inlineStr">
        <is>
          <t>实现要求</t>
        </is>
      </c>
    </row>
    <row r="38">
      <c r="A38" s="15" t="inlineStr">
        <is>
          <t>煤矿</t>
        </is>
      </c>
      <c r="B38" s="15" t="n">
        <v>9</v>
      </c>
      <c r="C38" s="33" t="n">
        <v>3.75e+19</v>
      </c>
      <c r="D38" s="33" t="n">
        <v>3.75e+42</v>
      </c>
      <c r="E38" s="15" t="inlineStr">
        <is>
          <t>尾数+指数/BigNumber；禁止转回int64</t>
        </is>
      </c>
    </row>
    <row r="39">
      <c r="A39" s="15" t="inlineStr">
        <is>
          <t>铁矿</t>
        </is>
      </c>
      <c r="B39" s="15" t="n">
        <v>9</v>
      </c>
      <c r="C39" s="33" t="n">
        <v>2.5e+20</v>
      </c>
      <c r="D39" s="33" t="n">
        <v>2.5e+43</v>
      </c>
      <c r="E39" s="15" t="inlineStr">
        <is>
          <t>尾数+指数/BigNumber；禁止转回int64</t>
        </is>
      </c>
    </row>
    <row r="40">
      <c r="A40" s="15" t="inlineStr">
        <is>
          <t>锌矿</t>
        </is>
      </c>
      <c r="B40" s="15" t="n">
        <v>9</v>
      </c>
      <c r="C40" s="33" t="n">
        <v>2.75e+21</v>
      </c>
      <c r="D40" s="33" t="n">
        <v>2.75e+44</v>
      </c>
      <c r="E40" s="15" t="inlineStr">
        <is>
          <t>尾数+指数/BigNumber；禁止转回int64</t>
        </is>
      </c>
    </row>
    <row r="41">
      <c r="A41" s="15" t="inlineStr">
        <is>
          <t>金矿</t>
        </is>
      </c>
      <c r="B41" s="15" t="n">
        <v>8</v>
      </c>
      <c r="C41" s="33" t="n">
        <v>3e+19</v>
      </c>
      <c r="D41" s="33" t="n">
        <v>3e+45</v>
      </c>
      <c r="E41" s="15" t="inlineStr">
        <is>
          <t>尾数+指数/BigNumber；禁止转回int64</t>
        </is>
      </c>
    </row>
    <row r="42">
      <c r="A42" s="15" t="inlineStr">
        <is>
          <t>水晶矿</t>
        </is>
      </c>
      <c r="B42" s="15" t="n">
        <v>8</v>
      </c>
      <c r="C42" s="33" t="n">
        <v>3.25e+20</v>
      </c>
      <c r="D42" s="33" t="n">
        <v>3.25e+46</v>
      </c>
      <c r="E42" s="15" t="inlineStr">
        <is>
          <t>尾数+指数/BigNumber；禁止转回int64</t>
        </is>
      </c>
    </row>
    <row r="43">
      <c r="A43" s="15" t="inlineStr">
        <is>
          <t>黑曜石</t>
        </is>
      </c>
      <c r="B43" s="15" t="n">
        <v>8</v>
      </c>
      <c r="C43" s="33" t="n">
        <v>3.5e+21</v>
      </c>
      <c r="D43" s="33" t="n">
        <v>3.5e+47</v>
      </c>
      <c r="E43" s="15" t="inlineStr">
        <is>
          <t>尾数+指数/BigNumber；禁止转回int64</t>
        </is>
      </c>
    </row>
    <row r="44">
      <c r="A44" s="15" t="inlineStr">
        <is>
          <t>钻石矿</t>
        </is>
      </c>
      <c r="B44" s="15" t="n">
        <v>7</v>
      </c>
      <c r="C44" s="33" t="n">
        <v>5e+19</v>
      </c>
      <c r="D44" s="33" t="n">
        <v>5e+48</v>
      </c>
      <c r="E44" s="15" t="inlineStr">
        <is>
          <t>尾数+指数/BigNumber；禁止转回int64</t>
        </is>
      </c>
    </row>
    <row r="45">
      <c r="A45" s="15" t="inlineStr">
        <is>
          <t>猫矿</t>
        </is>
      </c>
      <c r="B45" s="15" t="n">
        <v>7</v>
      </c>
      <c r="C45" s="33" t="n">
        <v>8.25e+20</v>
      </c>
      <c r="D45" s="33" t="n">
        <v>8.25e+49</v>
      </c>
      <c r="E45" s="15" t="inlineStr">
        <is>
          <t>尾数+指数/BigNumber；禁止转回int64</t>
        </is>
      </c>
    </row>
  </sheetData>
  <mergeCells count="11">
    <mergeCell ref="C5:O5"/>
    <mergeCell ref="A2:O2"/>
    <mergeCell ref="C9:O9"/>
    <mergeCell ref="C8:O8"/>
    <mergeCell ref="A11:O11"/>
    <mergeCell ref="A36:O36"/>
    <mergeCell ref="A1:O1"/>
    <mergeCell ref="A23:O23"/>
    <mergeCell ref="C7:O7"/>
    <mergeCell ref="A4:O4"/>
    <mergeCell ref="C6:O6"/>
  </mergeCells>
  <dataValidations count="1">
    <dataValidation sqref="B5" showDropDown="0" showInputMessage="0" showErrorMessage="0" allowBlank="0" type="list">
      <formula1>"压缩,原版"</formula1>
    </dataValidation>
  </dataValidations>
  <pageMargins left="0.75" right="0.75" top="1" bottom="1" header="0.5" footer="0.5"/>
  <pageSetup fitToHeight="0" fitToWidth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18" customWidth="1" min="3" max="3"/>
    <col width="33" customWidth="1" min="4" max="4"/>
    <col width="38" customWidth="1" min="5" max="5"/>
    <col width="25" customWidth="1" min="6" max="6"/>
    <col width="18" customWidth="1" min="7" max="7"/>
    <col width="18" customWidth="1" min="8" max="8"/>
    <col width="40" customWidth="1" min="9" max="9"/>
  </cols>
  <sheetData>
    <row r="1" ht="34" customHeight="1">
      <c r="A1" s="1" t="inlineStr">
        <is>
          <t>升华 / Advanced 天赋</t>
        </is>
      </c>
    </row>
    <row r="2" ht="31" customHeight="1">
      <c r="A2" s="2" t="inlineStr">
        <is>
          <t>Advanced 节点是普通树后半段的许可证与 QoL，不重复制造大量无条件乘区。每一行仍是独立按钮。</t>
        </is>
      </c>
    </row>
    <row r="4" ht="34" customHeight="1">
      <c r="A4" s="14" t="inlineStr">
        <is>
          <t>Node_ID</t>
        </is>
      </c>
      <c r="B4" s="14" t="inlineStr">
        <is>
          <t>名称</t>
        </is>
      </c>
      <c r="C4" s="14" t="inlineStr">
        <is>
          <t>Cost_Prestige</t>
        </is>
      </c>
      <c r="D4" s="14" t="inlineStr">
        <is>
          <t>前置_IDs</t>
        </is>
      </c>
      <c r="E4" s="14" t="inlineStr">
        <is>
          <t>效果描述</t>
        </is>
      </c>
      <c r="F4" s="14" t="inlineStr">
        <is>
          <t>Effect_Type</t>
        </is>
      </c>
      <c r="G4" s="14" t="inlineStr">
        <is>
          <t>Value</t>
        </is>
      </c>
      <c r="H4" s="14" t="inlineStr">
        <is>
          <t>阶段作用</t>
        </is>
      </c>
      <c r="I4" s="14" t="inlineStr">
        <is>
          <t>实现备注</t>
        </is>
      </c>
    </row>
    <row r="5">
      <c r="A5" s="15" t="inlineStr">
        <is>
          <t>meta_legacy</t>
        </is>
      </c>
      <c r="B5" s="15" t="inlineStr">
        <is>
          <t>矿业传承</t>
        </is>
      </c>
      <c r="C5" s="15" t="n">
        <v>0</v>
      </c>
      <c r="D5" s="15" t="inlineStr"/>
      <c r="E5" s="15" t="inlineStr">
        <is>
          <t>永久树根；启用升华点与永久升级。</t>
        </is>
      </c>
      <c r="F5" s="15" t="inlineStr">
        <is>
          <t>UNLOCK_META</t>
        </is>
      </c>
      <c r="G5" s="15" t="n">
        <v>1</v>
      </c>
      <c r="H5" s="15" t="inlineStr">
        <is>
          <t>树根</t>
        </is>
      </c>
      <c r="I5" s="15" t="inlineStr">
        <is>
          <t>购买状态永久保存；花掉的点数不降低永久等级。</t>
        </is>
      </c>
    </row>
    <row r="6">
      <c r="A6" s="15" t="inlineStr">
        <is>
          <t>meta_deep_mining</t>
        </is>
      </c>
      <c r="B6" s="15" t="inlineStr">
        <is>
          <t>深层采矿许可</t>
        </is>
      </c>
      <c r="C6" s="15" t="n">
        <v>10</v>
      </c>
      <c r="D6" s="15" t="inlineStr">
        <is>
          <t>meta_legacy</t>
        </is>
      </c>
      <c r="E6" s="15" t="inlineStr">
        <is>
          <t>允许购买所有矿物的第5~6个×2按钮。</t>
        </is>
      </c>
      <c r="F6" s="15" t="inlineStr">
        <is>
          <t>UNLOCK_TIER_RANGE</t>
        </is>
      </c>
      <c r="G6" s="15" t="inlineStr">
        <is>
          <t>5-6</t>
        </is>
      </c>
      <c r="H6" s="15" t="inlineStr">
        <is>
          <t>扩展I</t>
        </is>
      </c>
      <c r="I6" s="15" t="inlineStr">
        <is>
          <t>购买状态永久保存；花掉的点数不降低永久等级。</t>
        </is>
      </c>
    </row>
    <row r="7">
      <c r="A7" s="15" t="inlineStr">
        <is>
          <t>meta_synergy_vol1</t>
        </is>
      </c>
      <c r="B7" s="15" t="inlineStr">
        <is>
          <t>协同工程 Vol. I</t>
        </is>
      </c>
      <c r="C7" s="15" t="n">
        <v>25</v>
      </c>
      <c r="D7" s="15" t="inlineStr">
        <is>
          <t>meta_legacy</t>
        </is>
      </c>
      <c r="E7" s="15" t="inlineStr">
        <is>
          <t>允许双方各15座时购买协同I。</t>
        </is>
      </c>
      <c r="F7" s="15" t="inlineStr">
        <is>
          <t>UNLOCK_SYNERGY</t>
        </is>
      </c>
      <c r="G7" s="15" t="inlineStr">
        <is>
          <t>I</t>
        </is>
      </c>
      <c r="H7" s="15" t="inlineStr">
        <is>
          <t>扩展I</t>
        </is>
      </c>
      <c r="I7" s="15" t="inlineStr">
        <is>
          <t>购买状态永久保存；花掉的点数不降低永久等级。</t>
        </is>
      </c>
    </row>
    <row r="8">
      <c r="A8" s="15" t="inlineStr">
        <is>
          <t>meta_offline_1</t>
        </is>
      </c>
      <c r="B8" s="15" t="inlineStr">
        <is>
          <t>离线班组 I</t>
        </is>
      </c>
      <c r="C8" s="15" t="n">
        <v>25</v>
      </c>
      <c r="D8" s="15" t="inlineStr">
        <is>
          <t>meta_legacy</t>
        </is>
      </c>
      <c r="E8" s="15" t="inlineStr">
        <is>
          <t>离线获得10%自动建筑产出，最多2小时。</t>
        </is>
      </c>
      <c r="F8" s="15" t="inlineStr">
        <is>
          <t>OFFLINE_INCOME</t>
        </is>
      </c>
      <c r="G8" s="15" t="n">
        <v>0.1</v>
      </c>
      <c r="H8" s="15" t="inlineStr">
        <is>
          <t>扩展I</t>
        </is>
      </c>
      <c r="I8" s="15" t="inlineStr">
        <is>
          <t>购买状态永久保存；花掉的点数不降低永久等级。</t>
        </is>
      </c>
    </row>
    <row r="9">
      <c r="A9" s="15" t="inlineStr">
        <is>
          <t>meta_gold_research</t>
        </is>
      </c>
      <c r="B9" s="15" t="inlineStr">
        <is>
          <t>黄金研究许可</t>
        </is>
      </c>
      <c r="C9" s="15" t="n">
        <v>50</v>
      </c>
      <c r="D9" s="15" t="inlineStr">
        <is>
          <t>meta_deep_mining</t>
        </is>
      </c>
      <c r="E9" s="15" t="inlineStr">
        <is>
          <t>允许购买黄金矿业议会与后续Gold研究。</t>
        </is>
      </c>
      <c r="F9" s="15" t="inlineStr">
        <is>
          <t>UNLOCK_GOLD_RESEARCH</t>
        </is>
      </c>
      <c r="G9" s="15" t="n">
        <v>1</v>
      </c>
      <c r="H9" s="15" t="inlineStr">
        <is>
          <t>扩展I</t>
        </is>
      </c>
      <c r="I9" s="15" t="inlineStr">
        <is>
          <t>购买状态永久保存；花掉的点数不降低永久等级。</t>
        </is>
      </c>
    </row>
    <row r="10">
      <c r="A10" s="15" t="inlineStr">
        <is>
          <t>meta_permaslot_1</t>
        </is>
      </c>
      <c r="B10" s="15" t="inlineStr">
        <is>
          <t>永久槽 I</t>
        </is>
      </c>
      <c r="C10" s="15" t="n">
        <v>100</v>
      </c>
      <c r="D10" s="15" t="inlineStr">
        <is>
          <t>meta_deep_mining</t>
        </is>
      </c>
      <c r="E10" s="15" t="inlineStr">
        <is>
          <t>升华时保留一个普通天赋按钮。</t>
        </is>
      </c>
      <c r="F10" s="15" t="inlineStr">
        <is>
          <t>PERMANENT_SLOT</t>
        </is>
      </c>
      <c r="G10" s="15" t="n">
        <v>1</v>
      </c>
      <c r="H10" s="15" t="inlineStr">
        <is>
          <t>扩展I</t>
        </is>
      </c>
      <c r="I10" s="15" t="inlineStr">
        <is>
          <t>购买状态永久保存；花掉的点数不降低永久等级。</t>
        </is>
      </c>
    </row>
    <row r="11">
      <c r="A11" s="15" t="inlineStr">
        <is>
          <t>meta_abyssal_mining</t>
        </is>
      </c>
      <c r="B11" s="15" t="inlineStr">
        <is>
          <t>深渊采矿许可</t>
        </is>
      </c>
      <c r="C11" s="15" t="n">
        <v>250</v>
      </c>
      <c r="D11" s="15" t="inlineStr">
        <is>
          <t>meta_deep_mining</t>
        </is>
      </c>
      <c r="E11" s="15" t="inlineStr">
        <is>
          <t>允许购买所有矿物的第7~10个×2按钮。</t>
        </is>
      </c>
      <c r="F11" s="15" t="inlineStr">
        <is>
          <t>UNLOCK_TIER_RANGE</t>
        </is>
      </c>
      <c r="G11" s="15" t="inlineStr">
        <is>
          <t>7-10</t>
        </is>
      </c>
      <c r="H11" s="15" t="inlineStr">
        <is>
          <t>大数</t>
        </is>
      </c>
      <c r="I11" s="15" t="inlineStr">
        <is>
          <t>购买状态永久保存；花掉的点数不降低永久等级。</t>
        </is>
      </c>
    </row>
    <row r="12">
      <c r="A12" s="15" t="inlineStr">
        <is>
          <t>meta_synergy_vol2</t>
        </is>
      </c>
      <c r="B12" s="15" t="inlineStr">
        <is>
          <t>协同工程 Vol. II</t>
        </is>
      </c>
      <c r="C12" s="15" t="n">
        <v>500</v>
      </c>
      <c r="D12" s="15" t="inlineStr">
        <is>
          <t>meta_synergy_vol1,meta_abyssal_mining</t>
        </is>
      </c>
      <c r="E12" s="15" t="inlineStr">
        <is>
          <t>允许双方各75座时购买协同II。</t>
        </is>
      </c>
      <c r="F12" s="15" t="inlineStr">
        <is>
          <t>UNLOCK_SYNERGY</t>
        </is>
      </c>
      <c r="G12" s="15" t="inlineStr">
        <is>
          <t>II</t>
        </is>
      </c>
      <c r="H12" s="15" t="inlineStr">
        <is>
          <t>大数</t>
        </is>
      </c>
      <c r="I12" s="15" t="inlineStr">
        <is>
          <t>购买状态永久保存；花掉的点数不降低永久等级。</t>
        </is>
      </c>
    </row>
    <row r="13">
      <c r="A13" s="15" t="inlineStr">
        <is>
          <t>meta_offline_2</t>
        </is>
      </c>
      <c r="B13" s="15" t="inlineStr">
        <is>
          <t>离线班组 II</t>
        </is>
      </c>
      <c r="C13" s="15" t="n">
        <v>500</v>
      </c>
      <c r="D13" s="15" t="inlineStr">
        <is>
          <t>meta_offline_1</t>
        </is>
      </c>
      <c r="E13" s="15" t="inlineStr">
        <is>
          <t>离线效率提高到25%，上限8小时。</t>
        </is>
      </c>
      <c r="F13" s="15" t="inlineStr">
        <is>
          <t>OFFLINE_INCOME</t>
        </is>
      </c>
      <c r="G13" s="15" t="n">
        <v>0.25</v>
      </c>
      <c r="H13" s="15" t="inlineStr">
        <is>
          <t>大数</t>
        </is>
      </c>
      <c r="I13" s="15" t="inlineStr">
        <is>
          <t>购买状态永久保存；花掉的点数不降低永久等级。</t>
        </is>
      </c>
    </row>
    <row r="14">
      <c r="A14" s="15" t="inlineStr">
        <is>
          <t>meta_bulk_100</t>
        </is>
      </c>
      <c r="B14" s="15" t="inlineStr">
        <is>
          <t>百座采购合同</t>
        </is>
      </c>
      <c r="C14" s="15" t="n">
        <v>750</v>
      </c>
      <c r="D14" s="15" t="inlineStr">
        <is>
          <t>meta_abyssal_mining</t>
        </is>
      </c>
      <c r="E14" s="15" t="inlineStr">
        <is>
          <t>建筑商店解锁购买100与买到下一里程碑。</t>
        </is>
      </c>
      <c r="F14" s="15" t="inlineStr">
        <is>
          <t>UNLOCK_BULK_BUY</t>
        </is>
      </c>
      <c r="G14" s="15" t="n">
        <v>100</v>
      </c>
      <c r="H14" s="15" t="inlineStr">
        <is>
          <t>大数</t>
        </is>
      </c>
      <c r="I14" s="15" t="inlineStr">
        <is>
          <t>购买状态永久保存；花掉的点数不降低永久等级。</t>
        </is>
      </c>
    </row>
    <row r="15">
      <c r="A15" s="15" t="inlineStr">
        <is>
          <t>meta_permaslot_2</t>
        </is>
      </c>
      <c r="B15" s="15" t="inlineStr">
        <is>
          <t>永久槽 II</t>
        </is>
      </c>
      <c r="C15" s="15" t="n">
        <v>1000</v>
      </c>
      <c r="D15" s="15" t="inlineStr">
        <is>
          <t>meta_permaslot_1</t>
        </is>
      </c>
      <c r="E15" s="15" t="inlineStr">
        <is>
          <t>额外保留一个普通天赋按钮。</t>
        </is>
      </c>
      <c r="F15" s="15" t="inlineStr">
        <is>
          <t>PERMANENT_SLOT</t>
        </is>
      </c>
      <c r="G15" s="15" t="n">
        <v>1</v>
      </c>
      <c r="H15" s="15" t="inlineStr">
        <is>
          <t>大数</t>
        </is>
      </c>
      <c r="I15" s="15" t="inlineStr">
        <is>
          <t>购买状态永久保存；花掉的点数不降低永久等级。</t>
        </is>
      </c>
    </row>
    <row r="16">
      <c r="A16" s="15" t="inlineStr">
        <is>
          <t>meta_endless_mining</t>
        </is>
      </c>
      <c r="B16" s="15" t="inlineStr">
        <is>
          <t>无尽采矿许可</t>
        </is>
      </c>
      <c r="C16" s="15" t="n">
        <v>5000</v>
      </c>
      <c r="D16" s="15" t="inlineStr">
        <is>
          <t>meta_abyssal_mining,meta_synergy_vol2</t>
        </is>
      </c>
      <c r="E16" s="15" t="inlineStr">
        <is>
          <t>允许购买第11~15个×2按钮；必须启用BigNumber。</t>
        </is>
      </c>
      <c r="F16" s="15" t="inlineStr">
        <is>
          <t>UNLOCK_TIER_RANGE</t>
        </is>
      </c>
      <c r="G16" s="15" t="inlineStr">
        <is>
          <t>11-15</t>
        </is>
      </c>
      <c r="H16" s="15" t="inlineStr">
        <is>
          <t>终局</t>
        </is>
      </c>
      <c r="I16" s="15" t="inlineStr">
        <is>
          <t>购买状态永久保存；花掉的点数不降低永久等级。</t>
        </is>
      </c>
    </row>
    <row r="17">
      <c r="A17" s="15" t="inlineStr">
        <is>
          <t>meta_buy_max</t>
        </is>
      </c>
      <c r="B17" s="15" t="inlineStr">
        <is>
          <t>极限采购</t>
        </is>
      </c>
      <c r="C17" s="15" t="n">
        <v>5000</v>
      </c>
      <c r="D17" s="15" t="inlineStr">
        <is>
          <t>meta_bulk_100</t>
        </is>
      </c>
      <c r="E17" s="15" t="inlineStr">
        <is>
          <t>建筑商店解锁Buy Max。</t>
        </is>
      </c>
      <c r="F17" s="15" t="inlineStr">
        <is>
          <t>UNLOCK_BULK_BUY</t>
        </is>
      </c>
      <c r="G17" s="15" t="inlineStr">
        <is>
          <t>MAX</t>
        </is>
      </c>
      <c r="H17" s="15" t="inlineStr">
        <is>
          <t>终局</t>
        </is>
      </c>
      <c r="I17" s="15" t="inlineStr">
        <is>
          <t>购买状态永久保存；花掉的点数不降低永久等级。</t>
        </is>
      </c>
    </row>
    <row r="20" ht="25" customHeight="1">
      <c r="A20" s="12" t="inlineStr">
        <is>
          <t>升华点公式与边界测试</t>
        </is>
      </c>
    </row>
    <row r="21">
      <c r="A21" s="4" t="inlineStr">
        <is>
          <t>LifetimeCoins*</t>
        </is>
      </c>
      <c r="B21" s="59" t="n">
        <v>1000000</v>
      </c>
      <c r="D21" s="63" t="inlineStr">
        <is>
          <t>关键测试：999,999→0；1,000,000→10；1,331,000→11；1,728,000→12；8,000,000→20。 同一 Lifetime 重复升华时 GainedNow 必须为0；消费升华点不降低 TotalPrestige。</t>
        </is>
      </c>
    </row>
    <row r="22">
      <c r="A22" s="4" t="inlineStr">
        <is>
          <t>PreviousTotal*</t>
        </is>
      </c>
      <c r="B22" s="57" t="n">
        <v>0</v>
      </c>
    </row>
    <row r="23">
      <c r="A23" s="4" t="inlineStr">
        <is>
          <t>TotalPrestige</t>
        </is>
      </c>
      <c r="B23" s="64">
        <f>IF(B21&lt;Balance!B9,0,FLOOR(10*POWER(B21/Balance!B9,1/3),1))</f>
        <v/>
      </c>
    </row>
    <row r="24">
      <c r="A24" s="4" t="inlineStr">
        <is>
          <t>GainedNow</t>
        </is>
      </c>
      <c r="B24" s="64">
        <f>MAX(0,B23-B22)</f>
        <v/>
      </c>
    </row>
    <row r="25">
      <c r="A25" s="4" t="inlineStr">
        <is>
          <t>PermanentMultiplier</t>
        </is>
      </c>
      <c r="B25" s="64">
        <f>1+B23*1%</f>
        <v/>
      </c>
    </row>
    <row r="26">
      <c r="A26" s="4" t="inlineStr">
        <is>
          <t>NextLifetime</t>
        </is>
      </c>
      <c r="B26" s="65">
        <f>IF(B23=0,Balance!B9,CEILING(Balance!B9*POWER((B23+1)/10,3),1))</f>
        <v/>
      </c>
    </row>
  </sheetData>
  <mergeCells count="4">
    <mergeCell ref="A1:I1"/>
    <mergeCell ref="D21:I26"/>
    <mergeCell ref="A20:I20"/>
    <mergeCell ref="A2:I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31" customWidth="1" min="4" max="4"/>
    <col width="31" customWidth="1" min="5" max="5"/>
    <col width="26" customWidth="1" min="6" max="6"/>
    <col width="12" customWidth="1" min="7" max="7"/>
    <col width="20" customWidth="1" min="8" max="8"/>
    <col width="28" customWidth="1" min="9" max="9"/>
    <col width="32" customWidth="1" min="10" max="10"/>
  </cols>
  <sheetData>
    <row r="1" ht="34" customHeight="1">
      <c r="A1" s="1" t="inlineStr">
        <is>
          <t>V3 落地路线与验收标准</t>
        </is>
      </c>
    </row>
    <row r="2" ht="31" customHeight="1">
      <c r="A2" s="2" t="inlineStr">
        <is>
          <t>先建立经济底座，再接天赋 UI；否则大树只会继续是演示界面。</t>
        </is>
      </c>
    </row>
    <row r="4" ht="25" customHeight="1">
      <c r="A4" s="22" t="inlineStr">
        <is>
          <t>分阶段实现</t>
        </is>
      </c>
    </row>
    <row r="5" ht="34" customHeight="1">
      <c r="A5" s="14" t="inlineStr">
        <is>
          <t>阶段</t>
        </is>
      </c>
      <c r="B5" s="14" t="inlineStr">
        <is>
          <t>新增模块/数据</t>
        </is>
      </c>
      <c r="C5" s="14" t="inlineStr">
        <is>
          <t>主要职责</t>
        </is>
      </c>
      <c r="D5" s="14" t="inlineStr">
        <is>
          <t>改造入口</t>
        </is>
      </c>
      <c r="E5" s="14" t="inlineStr">
        <is>
          <t>完成标准</t>
        </is>
      </c>
      <c r="F5" s="14" t="inlineStr">
        <is>
          <t>风险</t>
        </is>
      </c>
      <c r="G5" s="14" t="inlineStr">
        <is>
          <t>优先级</t>
        </is>
      </c>
      <c r="H5" s="14" t="inlineStr">
        <is>
          <t>依赖</t>
        </is>
      </c>
      <c r="I5" s="14" t="inlineStr">
        <is>
          <t>存档字段</t>
        </is>
      </c>
      <c r="J5" s="14" t="inlineStr">
        <is>
          <t>测试</t>
        </is>
      </c>
    </row>
    <row r="6" ht="55" customHeight="1">
      <c r="A6" s="15" t="n">
        <v>1</v>
      </c>
      <c r="B6" s="15" t="inlineStr">
        <is>
          <t>BigNumber + Economy/Wallet</t>
        </is>
      </c>
      <c r="C6" s="15" t="inlineStr">
        <is>
          <t>权威金币、加减、格式化、来源统计</t>
        </is>
      </c>
      <c r="D6" s="15" t="inlineStr">
        <is>
          <t>替换 GameManager.coins += gained</t>
        </is>
      </c>
      <c r="E6" s="15" t="inlineStr">
        <is>
          <t>主游戏与天赋共用同一钱包</t>
        </is>
      </c>
      <c r="F6" s="15" t="inlineStr">
        <is>
          <t>int64溢出</t>
        </is>
      </c>
      <c r="G6" s="15" t="inlineStr">
        <is>
          <t>P0</t>
        </is>
      </c>
      <c r="H6" s="15" t="inlineStr">
        <is>
          <t>无</t>
        </is>
      </c>
      <c r="I6" s="15" t="inlineStr">
        <is>
          <t>coins,mantissa,exponent</t>
        </is>
      </c>
      <c r="J6" s="15" t="inlineStr">
        <is>
          <t>大于9.22e18仍可加减/比较</t>
        </is>
      </c>
    </row>
    <row r="7" ht="55" customHeight="1">
      <c r="A7" s="15" t="n">
        <v>2</v>
      </c>
      <c r="B7" s="15" t="inlineStr">
        <is>
          <t>ProducerDef + PurchaseService</t>
        </is>
      </c>
      <c r="C7" s="15" t="inlineStr">
        <is>
          <t>8矿BasePrice/BaseCPS、owned、buy1/10/100/max</t>
        </is>
      </c>
      <c r="D7" s="15" t="inlineStr">
        <is>
          <t>新增 producers 数据资源</t>
        </is>
      </c>
      <c r="E7" s="15" t="inlineStr">
        <is>
          <t>价格几何和与原子扣款一致</t>
        </is>
      </c>
      <c r="F7" s="15" t="inlineStr">
        <is>
          <t>Excel/代码舍入差</t>
        </is>
      </c>
      <c r="G7" s="15" t="inlineStr">
        <is>
          <t>P0</t>
        </is>
      </c>
      <c r="H7" s="15" t="inlineStr">
        <is>
          <t>阶段1</t>
        </is>
      </c>
      <c r="I7" s="15" t="inlineStr">
        <is>
          <t>owned_by_ore</t>
        </is>
      </c>
      <c r="J7" s="15" t="inlineStr">
        <is>
          <t>0/1/10/100边界与买不起</t>
        </is>
      </c>
    </row>
    <row r="8" ht="55" customHeight="1">
      <c r="A8" s="15" t="n">
        <v>3</v>
      </c>
      <c r="B8" s="15" t="inlineStr">
        <is>
          <t>ProductionManager</t>
        </is>
      </c>
      <c r="C8" s="15" t="inlineStr">
        <is>
          <t>聚合CPS、delta累计、来源统计</t>
        </is>
      </c>
      <c r="D8" s="15" t="inlineStr">
        <is>
          <t>独立于 GridModel tick</t>
        </is>
      </c>
      <c r="E8" s="15" t="inlineStr">
        <is>
          <t>不生成OreBlock也能持续产币</t>
        </is>
      </c>
      <c r="F8" s="15" t="inlineStr">
        <is>
          <t>双重结算</t>
        </is>
      </c>
      <c r="G8" s="15" t="inlineStr">
        <is>
          <t>P0</t>
        </is>
      </c>
      <c r="H8" s="15" t="inlineStr">
        <is>
          <t>阶段1-2</t>
        </is>
      </c>
      <c r="I8" s="15" t="inlineStr">
        <is>
          <t>fractional_income</t>
        </is>
      </c>
      <c r="J8" s="15" t="inlineStr">
        <is>
          <t>不同帧率同一时长产出一致</t>
        </is>
      </c>
    </row>
    <row r="9" ht="55" customHeight="1">
      <c r="A9" s="15" t="n">
        <v>4</v>
      </c>
      <c r="B9" s="15" t="inlineStr">
        <is>
          <t>Progression + TalentEffect</t>
        </is>
      </c>
      <c r="C9" s="15" t="inlineStr">
        <is>
          <t>190普通节点、13 Advanced、前置/购买/Modifier</t>
        </is>
      </c>
      <c r="D9" s="15" t="inlineStr">
        <is>
          <t>替换 talent_grid.gd demo defs</t>
        </is>
      </c>
      <c r="E9" s="15" t="inlineStr">
        <is>
          <t>购买一个节点立即改变目标CPS</t>
        </is>
      </c>
      <c r="F9" s="15" t="inlineStr">
        <is>
          <t>共享Resource被直接改写</t>
        </is>
      </c>
      <c r="G9" s="15" t="inlineStr">
        <is>
          <t>P0</t>
        </is>
      </c>
      <c r="H9" s="15" t="inlineStr">
        <is>
          <t>阶段1-3</t>
        </is>
      </c>
      <c r="I9" s="15" t="inlineStr">
        <is>
          <t>purchased_node_ids</t>
        </is>
      </c>
      <c r="J9" s="15" t="inlineStr">
        <is>
          <t>每个Node_ID唯一且前置存在</t>
        </is>
      </c>
    </row>
    <row r="10" ht="55" customHeight="1">
      <c r="A10" s="15" t="n">
        <v>5</v>
      </c>
      <c r="B10" s="15" t="inlineStr">
        <is>
          <t>解锁过滤</t>
        </is>
      </c>
      <c r="C10" s="15" t="inlineStr">
        <is>
          <t>unlocked_ore_ids / unlocked_tile_ids</t>
        </is>
      </c>
      <c r="D10" s="15" t="inlineStr">
        <is>
          <t>DefDb.roll_ore、强制gold、spawn、upgrade</t>
        </is>
      </c>
      <c r="E10" s="15" t="inlineStr">
        <is>
          <t>未解锁矿种不会从任何入口出现；矿种解锁后实体Lv1~3均允许</t>
        </is>
      </c>
      <c r="F10" s="15" t="inlineStr">
        <is>
          <t>旁路生成</t>
        </is>
      </c>
      <c r="G10" s="15" t="inlineStr">
        <is>
          <t>P0</t>
        </is>
      </c>
      <c r="H10" s="15" t="inlineStr">
        <is>
          <t>阶段4</t>
        </is>
      </c>
      <c r="I10" s="15" t="inlineStr">
        <is>
          <t>unlocks</t>
        </is>
      </c>
      <c r="J10" s="15" t="inlineStr">
        <is>
          <t>gold/crystal旁路；已解锁矿Lv1→Lv3</t>
        </is>
      </c>
    </row>
    <row r="11" ht="55" customHeight="1">
      <c r="A11" s="15" t="n">
        <v>6</v>
      </c>
      <c r="B11" s="15" t="inlineStr">
        <is>
          <t>TileInventory</t>
        </is>
      </c>
      <c r="C11" s="15" t="inlineStr">
        <is>
          <t>购买、库存、放置、拆除、1.15价格</t>
        </is>
      </c>
      <c r="D11" s="15" t="inlineStr">
        <is>
          <t>TileDrawer + place/remove</t>
        </is>
      </c>
      <c r="E11" s="15" t="inlineStr">
        <is>
          <t>不再免费无限创造地块</t>
        </is>
      </c>
      <c r="F11" s="15" t="inlineStr">
        <is>
          <t>旧存档迁移</t>
        </is>
      </c>
      <c r="G11" s="15" t="inlineStr">
        <is>
          <t>P1</t>
        </is>
      </c>
      <c r="H11" s="15" t="inlineStr">
        <is>
          <t>阶段1,4</t>
        </is>
      </c>
      <c r="I11" s="15" t="inlineStr">
        <is>
          <t>tile_owned,inventory</t>
        </is>
      </c>
      <c r="J11" s="15" t="inlineStr">
        <is>
          <t>Owned=Inventory+Placed</t>
        </is>
      </c>
    </row>
    <row r="12" ht="55" customHeight="1">
      <c r="A12" s="15" t="n">
        <v>7</v>
      </c>
      <c r="B12" s="15" t="inlineStr">
        <is>
          <t>ModifierPipeline</t>
        </is>
      </c>
      <c r="C12" s="15" t="inlineStr">
        <is>
          <t>Tier/Gold/Pair/Terrain/Prestige/Buff分层</t>
        </is>
      </c>
      <c r="D12" s="15" t="inlineStr">
        <is>
          <t>ProductionManager查询</t>
        </is>
      </c>
      <c r="E12" s="15" t="inlineStr">
        <is>
          <t>顺序固定且可解释</t>
        </is>
      </c>
      <c r="F12" s="15" t="inlineStr">
        <is>
          <t>重复乘算</t>
        </is>
      </c>
      <c r="G12" s="15" t="inlineStr">
        <is>
          <t>P1</t>
        </is>
      </c>
      <c r="H12" s="15" t="inlineStr">
        <is>
          <t>阶段3-6</t>
        </is>
      </c>
      <c r="I12" s="15" t="inlineStr">
        <is>
          <t>modifier_versions</t>
        </is>
      </c>
      <c r="J12" s="15" t="inlineStr">
        <is>
          <t>手算样例对齐Excel</t>
        </is>
      </c>
    </row>
    <row r="13" ht="55" customHeight="1">
      <c r="A13" s="15" t="n">
        <v>8</v>
      </c>
      <c r="B13" s="15" t="inlineStr">
        <is>
          <t>Save + Offline</t>
        </is>
      </c>
      <c r="C13" s="15" t="inlineStr">
        <is>
          <t>版本化存档、last_unix、离线上限</t>
        </is>
      </c>
      <c r="D13" s="15" t="inlineStr">
        <is>
          <t>autoload progression</t>
        </is>
      </c>
      <c r="E13" s="15" t="inlineStr">
        <is>
          <t>重启不丢进度</t>
        </is>
      </c>
      <c r="F13" s="15" t="inlineStr">
        <is>
          <t>改系统时间</t>
        </is>
      </c>
      <c r="G13" s="15" t="inlineStr">
        <is>
          <t>P1</t>
        </is>
      </c>
      <c r="H13" s="15" t="inlineStr">
        <is>
          <t>阶段1-7</t>
        </is>
      </c>
      <c r="I13" s="15" t="inlineStr">
        <is>
          <t>save_version,last_time</t>
        </is>
      </c>
      <c r="J13" s="15" t="inlineStr">
        <is>
          <t>0/2h/8h/负时间</t>
        </is>
      </c>
    </row>
    <row r="14" ht="55" customHeight="1">
      <c r="A14" s="15" t="n">
        <v>9</v>
      </c>
      <c r="B14" s="15" t="inlineStr">
        <is>
          <t>Talent Tree UI</t>
        </is>
      </c>
      <c r="C14" s="15" t="inlineStr">
        <is>
          <t>分支折叠、搜索、锁定原因、连线、BigNumber显示</t>
        </is>
      </c>
      <c r="D14" s="15" t="inlineStr">
        <is>
          <t>talent scene</t>
        </is>
      </c>
      <c r="E14" s="15" t="inlineStr">
        <is>
          <t>可浏览庞大树且不卡顿</t>
        </is>
      </c>
      <c r="F14" s="15" t="inlineStr">
        <is>
          <t>190节点一次性实例化</t>
        </is>
      </c>
      <c r="G14" s="15" t="inlineStr">
        <is>
          <t>P2</t>
        </is>
      </c>
      <c r="H14" s="15" t="inlineStr">
        <is>
          <t>阶段4</t>
        </is>
      </c>
      <c r="I14" s="15" t="inlineStr">
        <is>
          <t>UI preference</t>
        </is>
      </c>
      <c r="J14" s="15" t="inlineStr">
        <is>
          <t>键鼠/手柄/缩放</t>
        </is>
      </c>
    </row>
    <row r="17" ht="25" customHeight="1">
      <c r="A17" s="3" t="inlineStr">
        <is>
          <t>固定计算顺序</t>
        </is>
      </c>
    </row>
    <row r="18">
      <c r="A18" s="66" t="inlineStr">
        <is>
          <t>TotalCPS = Σ[Owned × BaseCPS × TierMult × GoldMult × PairMult × TerrainMult] × PrestigeMult × GlobalMult × TemporaryBuffMult</t>
        </is>
      </c>
    </row>
    <row r="19"/>
    <row r="20">
      <c r="A20" s="21" t="inlineStr">
        <is>
          <t>• 同一建筑的15个常规升级彼此乘法：TierMult=2^PurchasedTierCount。</t>
        </is>
      </c>
    </row>
    <row r="21">
      <c r="A21" s="21" t="inlineStr">
        <is>
          <t>• 同类地块加成先加成一个 TerrainMult；不同系统才进入独立乘区。</t>
        </is>
      </c>
    </row>
    <row r="22">
      <c r="A22" s="21" t="inlineStr">
        <is>
          <t>• Gold/Pair/Terrain 都只作用 Producer CPS。实体矿结算走 RewardContext，不重复进入自动CPS。</t>
        </is>
      </c>
    </row>
    <row r="23">
      <c r="A23" s="21" t="inlineStr">
        <is>
          <t>• 所有倍率计算使用 BigNumber 或受控 double；权威金币不可再由 float tween 回写。</t>
        </is>
      </c>
    </row>
    <row r="26" ht="25" customHeight="1">
      <c r="A26" s="11" t="inlineStr">
        <is>
          <t>上线前必须通过的验收</t>
        </is>
      </c>
    </row>
    <row r="27">
      <c r="A27" s="4" t="inlineStr">
        <is>
          <t>节点完整</t>
        </is>
      </c>
      <c r="B27" s="21" t="inlineStr">
        <is>
          <t>8种矿各15个 BUILDING_CPS_MULT；共120；每个 max_rank=1。</t>
        </is>
      </c>
    </row>
    <row r="28">
      <c r="A28" s="4" t="inlineStr">
        <is>
          <t>前置完整</t>
        </is>
      </c>
      <c r="B28" s="21" t="inlineStr">
        <is>
          <t>所有普通前置 Node_ID 与 Advanced前置都存在；Stone 不会成为意外根节点。</t>
        </is>
      </c>
    </row>
    <row r="29">
      <c r="A29" s="4" t="inlineStr">
        <is>
          <t>解锁一致</t>
        </is>
      </c>
      <c r="B29" s="21" t="inlineStr">
        <is>
          <t>unlock_gold 未买时：商店无Gold、roll_ore无Gold、开局不强制Gold；spawn crystal 同样受 unlock_crystal 控制。</t>
        </is>
      </c>
    </row>
    <row r="30">
      <c r="A30" s="4" t="inlineStr">
        <is>
          <t>实体等级</t>
        </is>
      </c>
      <c r="B30" s="21" t="inlineStr">
        <is>
          <t>自然落矿保持Lv1；矿种解锁后该矿Lv1~3都允许，upgrade地块可升到Lv3，不再设置独立高级/巨大许可证。</t>
        </is>
      </c>
    </row>
    <row r="31">
      <c r="A31" s="4" t="inlineStr">
        <is>
          <t>双计禁止</t>
        </is>
      </c>
      <c r="B31" s="21" t="inlineStr">
        <is>
          <t>自动生产1秒增加一次建筑收入；网格不生成对应实体矿，实体矿击破只结算自身来源。</t>
        </is>
      </c>
    </row>
    <row r="32">
      <c r="A32" s="4" t="inlineStr">
        <is>
          <t>草地协同</t>
        </is>
      </c>
      <c r="B32" s="21" t="inlineStr">
        <is>
          <t>9块无加成；10/19块1组；50块5组；100和更多最多10组。</t>
        </is>
      </c>
    </row>
    <row r="33">
      <c r="A33" s="4" t="inlineStr">
        <is>
          <t>替换档位</t>
        </is>
      </c>
      <c r="B33" s="21" t="inlineStr">
        <is>
          <t>Grass II 替代 I 的每组10%，不是在15%上再加10%。</t>
        </is>
      </c>
    </row>
    <row r="34">
      <c r="A34" s="4" t="inlineStr">
        <is>
          <t>价格</t>
        </is>
      </c>
      <c r="B34" s="21" t="inlineStr">
        <is>
          <t>Owned 0/1/5/15；buy1/10/100/max 与几何和一致，扣款原子化。</t>
        </is>
      </c>
    </row>
    <row r="35">
      <c r="A35" s="4" t="inlineStr">
        <is>
          <t>大数</t>
        </is>
      </c>
      <c r="B35" s="21" t="inlineStr">
        <is>
          <t>最贵Tier价格可保存/加载/比较；HUD后缀显示不把近似float写回权威值。</t>
        </is>
      </c>
    </row>
    <row r="36">
      <c r="A36" s="4" t="inlineStr">
        <is>
          <t>离线</t>
        </is>
      </c>
      <c r="B36" s="21" t="inlineStr">
        <is>
          <t>负时间按0；超上限截断；离线只结算Producer，不逐帧模拟GridModel。</t>
        </is>
      </c>
    </row>
  </sheetData>
  <mergeCells count="20">
    <mergeCell ref="A23:J23"/>
    <mergeCell ref="A22:J22"/>
    <mergeCell ref="A17:J17"/>
    <mergeCell ref="A4:J4"/>
    <mergeCell ref="A20:J20"/>
    <mergeCell ref="B29:J29"/>
    <mergeCell ref="B34:J34"/>
    <mergeCell ref="B28:J28"/>
    <mergeCell ref="B30:J30"/>
    <mergeCell ref="A18:J19"/>
    <mergeCell ref="B33:J33"/>
    <mergeCell ref="A1:J1"/>
    <mergeCell ref="B36:J36"/>
    <mergeCell ref="B32:J32"/>
    <mergeCell ref="B35:J35"/>
    <mergeCell ref="A21:J21"/>
    <mergeCell ref="B31:J31"/>
    <mergeCell ref="B27:J27"/>
    <mergeCell ref="A26:J26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Ore_ID</t>
        </is>
      </c>
      <c r="B1" t="inlineStr">
        <is>
          <t>Tile_ID</t>
        </is>
      </c>
      <c r="C1" t="inlineStr">
        <is>
          <t>Operation</t>
        </is>
      </c>
      <c r="D1" t="inlineStr">
        <is>
          <t>Currency</t>
        </is>
      </c>
      <c r="E1" t="inlineStr">
        <is>
          <t>Phase</t>
        </is>
      </c>
    </row>
    <row r="2">
      <c r="A2" t="inlineStr">
        <is>
          <t>coal</t>
        </is>
      </c>
      <c r="B2" t="inlineStr">
        <is>
          <t>dirt</t>
        </is>
      </c>
      <c r="C2" t="inlineStr">
        <is>
          <t>UNLOCK</t>
        </is>
      </c>
      <c r="D2" t="inlineStr">
        <is>
          <t>金币</t>
        </is>
      </c>
      <c r="E2" t="inlineStr">
        <is>
          <t>本轮核心</t>
        </is>
      </c>
    </row>
    <row r="3">
      <c r="A3" t="inlineStr">
        <is>
          <t>iron</t>
        </is>
      </c>
      <c r="B3" t="inlineStr">
        <is>
          <t>grass</t>
        </is>
      </c>
      <c r="C3" t="inlineStr">
        <is>
          <t>MULTIPLY</t>
        </is>
      </c>
      <c r="D3" t="inlineStr">
        <is>
          <t>升华点</t>
        </is>
      </c>
      <c r="E3" t="inlineStr">
        <is>
          <t>升华扩展 I</t>
        </is>
      </c>
    </row>
    <row r="4">
      <c r="A4" t="inlineStr">
        <is>
          <t>zinc</t>
        </is>
      </c>
      <c r="B4" t="inlineStr">
        <is>
          <t>stone</t>
        </is>
      </c>
      <c r="C4" t="inlineStr">
        <is>
          <t>FORMULA</t>
        </is>
      </c>
      <c r="D4" t="inlineStr"/>
      <c r="E4" t="inlineStr">
        <is>
          <t>大数阶段</t>
        </is>
      </c>
    </row>
    <row r="5">
      <c r="A5" t="inlineStr">
        <is>
          <t>gold</t>
        </is>
      </c>
      <c r="B5" t="inlineStr">
        <is>
          <t>water</t>
        </is>
      </c>
      <c r="C5" t="inlineStr">
        <is>
          <t>SET_RATE_PER_10</t>
        </is>
      </c>
      <c r="D5" t="inlineStr"/>
      <c r="E5" t="inlineStr">
        <is>
          <t>终局阶段</t>
        </is>
      </c>
    </row>
    <row r="6">
      <c r="A6" t="inlineStr">
        <is>
          <t>crystal</t>
        </is>
      </c>
      <c r="B6" t="inlineStr">
        <is>
          <t>fire</t>
        </is>
      </c>
      <c r="C6" t="inlineStr">
        <is>
          <t>ADD_BASE</t>
        </is>
      </c>
      <c r="D6" t="inlineStr"/>
      <c r="E6" t="inlineStr"/>
    </row>
    <row r="7">
      <c r="A7" t="inlineStr">
        <is>
          <t>obsidian</t>
        </is>
      </c>
      <c r="B7" t="inlineStr">
        <is>
          <t>push</t>
        </is>
      </c>
      <c r="C7" t="inlineStr">
        <is>
          <t>ADD</t>
        </is>
      </c>
      <c r="D7" t="inlineStr"/>
      <c r="E7" t="inlineStr"/>
    </row>
    <row r="8">
      <c r="A8" t="inlineStr">
        <is>
          <t>diamond</t>
        </is>
      </c>
      <c r="B8" t="inlineStr">
        <is>
          <t>pull</t>
        </is>
      </c>
      <c r="C8" t="inlineStr"/>
      <c r="D8" t="inlineStr"/>
      <c r="E8" t="inlineStr"/>
    </row>
    <row r="9">
      <c r="A9" t="inlineStr">
        <is>
          <t>cat</t>
        </is>
      </c>
      <c r="B9" t="inlineStr">
        <is>
          <t>volcano_stable</t>
        </is>
      </c>
      <c r="C9" t="inlineStr"/>
      <c r="D9" t="inlineStr"/>
      <c r="E9" t="inlineStr"/>
    </row>
    <row r="10">
      <c r="A10" t="inlineStr"/>
      <c r="B10" t="inlineStr">
        <is>
          <t>upgrade</t>
        </is>
      </c>
      <c r="C10" t="inlineStr"/>
      <c r="D10" t="inlineStr"/>
      <c r="E10" t="inlineStr"/>
    </row>
    <row r="11">
      <c r="A11" t="inlineStr"/>
      <c r="B11" t="inlineStr">
        <is>
          <t>rarity</t>
        </is>
      </c>
      <c r="C11" t="inlineStr"/>
      <c r="D11" t="inlineStr"/>
      <c r="E11" t="inlineStr"/>
    </row>
    <row r="12">
      <c r="A12" t="inlineStr"/>
      <c r="B12" t="inlineStr">
        <is>
          <t>spawn</t>
        </is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DIG Talent Design V3</dc:title>
  <dc:description xmlns:dc="http://purl.org/dc/elements/1.1/">Current-project audit plus a Cookie Clicker-inspired, implementation-oriented talent design.</dc:description>
  <dc:subject xmlns:dc="http://purl.org/dc/elements/1.1/">8 ore producers, 120 independent upgrades, Gold/terrain synergies</dc:subject>
  <dcterms:created xmlns:dcterms="http://purl.org/dc/terms/" xmlns:xsi="http://www.w3.org/2001/XMLSchema-instance" xsi:type="dcterms:W3CDTF">2026-08-15T17:29:24Z</dcterms:created>
  <dcterms:modified xmlns:dcterms="http://purl.org/dc/terms/" xmlns:xsi="http://www.w3.org/2001/XMLSchema-instance" xsi:type="dcterms:W3CDTF">2026-08-15T17:29:25Z</dcterms:modified>
</cp:coreProperties>
</file>