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Basic_Talents" sheetId="2" state="visible" r:id="rId2"/>
    <sheet xmlns:r="http://schemas.openxmlformats.org/officeDocument/2006/relationships" name="Advanced_Talents" sheetId="3" state="visible" r:id="rId3"/>
    <sheet xmlns:r="http://schemas.openxmlformats.org/officeDocument/2006/relationships" name="Tree_View" sheetId="4" state="visible" r:id="rId4"/>
    <sheet xmlns:r="http://schemas.openxmlformats.org/officeDocument/2006/relationships" name="Balance" sheetId="5" state="visible" r:id="rId5"/>
    <sheet xmlns:r="http://schemas.openxmlformats.org/officeDocument/2006/relationships" name="Content_Catalog" sheetId="6" state="visible" r:id="rId6"/>
    <sheet xmlns:r="http://schemas.openxmlformats.org/officeDocument/2006/relationships" name="Change_Log" sheetId="7" state="visible" r:id="rId7"/>
    <sheet xmlns:r="http://schemas.openxmlformats.org/officeDocument/2006/relationships" name="Lists" sheetId="8" state="hidden" r:id="rId8"/>
  </sheets>
  <definedNames>
    <definedName name="_xlnm._FilterDatabase" localSheetId="0" hidden="1">'Rules'!$A$4:$G$56</definedName>
    <definedName name="_xlnm._FilterDatabase" localSheetId="1" hidden="1">'Basic_Talents'!$A$4:$AB$39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&quot;×&quot;"/>
    <numFmt numFmtId="165" formatCode="#,##0.000"/>
  </numFmts>
  <fonts count="19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DDE6F4"/>
      <sz val="10"/>
    </font>
    <font>
      <name val="Microsoft YaHei"/>
      <b val="1"/>
      <color rgb="00172033"/>
    </font>
    <font>
      <name val="Microsoft YaHei"/>
      <b val="1"/>
      <color rgb="00FFFFFF"/>
    </font>
    <font>
      <name val="Microsoft YaHei"/>
      <color rgb="00253047"/>
    </font>
    <font>
      <name val="Microsoft YaHei"/>
      <i val="1"/>
      <color rgb="00657189"/>
    </font>
    <font>
      <name val="Microsoft YaHei"/>
      <family val="2"/>
      <color theme="1"/>
      <sz val="11"/>
      <scheme val="minor"/>
    </font>
    <font>
      <name val="Microsoft YaHei"/>
      <b val="1"/>
      <color rgb="00172033"/>
      <sz val="18"/>
    </font>
    <font>
      <name val="Microsoft YaHei"/>
      <color rgb="00657189"/>
    </font>
    <font>
      <name val="Microsoft YaHei"/>
      <b val="1"/>
      <color rgb="00FFFFFF"/>
      <sz val="15"/>
    </font>
    <font>
      <name val="Microsoft YaHei"/>
      <color rgb="00657189"/>
      <sz val="8"/>
    </font>
    <font>
      <name val="Consolas"/>
      <b val="1"/>
      <color rgb="00D97757"/>
    </font>
    <font>
      <name val="Consolas"/>
      <b val="1"/>
      <color rgb="00E8B949"/>
    </font>
    <font>
      <name val="Consolas"/>
      <b val="1"/>
      <color rgb="005BA6C9"/>
    </font>
    <font>
      <name val="Consolas"/>
      <b val="1"/>
      <color rgb="0068B984"/>
    </font>
    <font>
      <name val="Microsoft YaHei"/>
      <b val="1"/>
      <color rgb="00FFFFFF"/>
      <sz val="9"/>
    </font>
    <font>
      <name val="Consolas"/>
      <b val="1"/>
      <color rgb="009A79C9"/>
    </font>
    <font>
      <name val="Microsoft YaHei"/>
      <b val="1"/>
      <color rgb="00253047"/>
    </font>
  </fonts>
  <fills count="1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24324A"/>
      </patternFill>
    </fill>
    <fill>
      <patternFill patternType="solid">
        <fgColor rgb="00F4B942"/>
      </patternFill>
    </fill>
    <fill>
      <patternFill patternType="solid">
        <fgColor rgb="00F4F6F9"/>
      </patternFill>
    </fill>
    <fill>
      <patternFill patternType="solid">
        <fgColor rgb="009A79C9"/>
      </patternFill>
    </fill>
    <fill>
      <patternFill patternType="solid">
        <fgColor rgb="00D97757"/>
      </patternFill>
    </fill>
    <fill>
      <patternFill patternType="solid">
        <fgColor rgb="00FFF4CE"/>
      </patternFill>
    </fill>
    <fill>
      <patternFill patternType="solid">
        <fgColor rgb="00EAF3F8"/>
      </patternFill>
    </fill>
    <fill>
      <patternFill patternType="solid">
        <fgColor rgb="00E8B949"/>
      </patternFill>
    </fill>
    <fill>
      <patternFill patternType="solid">
        <fgColor rgb="005BA6C9"/>
      </patternFill>
    </fill>
    <fill>
      <patternFill patternType="solid">
        <fgColor rgb="0068B984"/>
      </patternFill>
    </fill>
    <fill>
      <patternFill patternType="solid">
        <fgColor rgb="00F8D7DA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bottom style="medium">
        <color rgb="0024324A"/>
      </bottom>
    </border>
    <border>
      <bottom style="thin">
        <color rgb="00D8DEE9"/>
      </bottom>
    </border>
    <border>
      <left style="medium">
        <color rgb="0024324A"/>
      </left>
      <right style="medium">
        <color rgb="0024324A"/>
      </right>
      <top style="medium">
        <color rgb="0024324A"/>
      </top>
      <bottom style="medium">
        <color rgb="0024324A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4" fillId="6" borderId="0" pivotButton="0" quotePrefix="0" xfId="0"/>
    <xf numFmtId="0" fontId="5" fillId="0" borderId="2" applyAlignment="1" pivotButton="0" quotePrefix="0" xfId="0">
      <alignment wrapText="1"/>
    </xf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3" fontId="7" fillId="8" borderId="2" applyAlignment="1" pivotButton="0" quotePrefix="0" xfId="0">
      <alignment vertical="top" wrapText="1"/>
    </xf>
    <xf numFmtId="3" fontId="7" fillId="9" borderId="2" applyAlignment="1" pivotButton="0" quotePrefix="0" xfId="0">
      <alignment vertical="top" wrapText="1"/>
    </xf>
    <xf numFmtId="2" fontId="7" fillId="9" borderId="2" applyAlignment="1" pivotButton="0" quotePrefix="0" xfId="0">
      <alignment vertical="top" wrapText="1"/>
    </xf>
    <xf numFmtId="2" fontId="7" fillId="8" borderId="2" applyAlignment="1" pivotButton="0" quotePrefix="0" xfId="0">
      <alignment vertical="top" wrapText="1"/>
    </xf>
    <xf numFmtId="9" fontId="7" fillId="8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164" fontId="7" fillId="8" borderId="2" applyAlignment="1" pivotButton="0" quotePrefix="0" xfId="0">
      <alignment vertical="top" wrapText="1"/>
    </xf>
    <xf numFmtId="0" fontId="4" fillId="11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16" fillId="7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6" fillId="11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 wrapText="1"/>
    </xf>
    <xf numFmtId="0" fontId="16" fillId="12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7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10" borderId="0" pivotButton="0" quotePrefix="0" xfId="0"/>
    <xf numFmtId="2" fontId="5" fillId="8" borderId="2" applyAlignment="1" pivotButton="0" quotePrefix="0" xfId="0">
      <alignment vertical="top" wrapText="1"/>
    </xf>
    <xf numFmtId="4" fontId="5" fillId="9" borderId="2" applyAlignment="1" pivotButton="0" quotePrefix="0" xfId="0">
      <alignment vertical="top" wrapText="1"/>
    </xf>
    <xf numFmtId="165" fontId="5" fillId="9" borderId="2" applyAlignment="1" pivotButton="0" quotePrefix="0" xfId="0">
      <alignment vertical="top" wrapText="1"/>
    </xf>
    <xf numFmtId="4" fontId="5" fillId="8" borderId="2" applyAlignment="1" pivotButton="0" quotePrefix="0" xfId="0">
      <alignment vertical="top" wrapText="1"/>
    </xf>
    <xf numFmtId="3" fontId="5" fillId="0" borderId="2" pivotButton="0" quotePrefix="0" xfId="0"/>
    <xf numFmtId="4" fontId="5" fillId="0" borderId="2" pivotButton="0" quotePrefix="0" xfId="0"/>
    <xf numFmtId="0" fontId="5" fillId="0" borderId="2" pivotButton="0" quotePrefix="0" xfId="0"/>
    <xf numFmtId="9" fontId="5" fillId="8" borderId="2" applyAlignment="1" pivotButton="0" quotePrefix="0" xfId="0">
      <alignment vertical="top" wrapText="1"/>
    </xf>
    <xf numFmtId="3" fontId="5" fillId="8" borderId="2" applyAlignment="1" pivotButton="0" quotePrefix="0" xfId="0">
      <alignment vertical="top" wrapText="1"/>
    </xf>
    <xf numFmtId="164" fontId="5" fillId="0" borderId="2" pivotButton="0" quotePrefix="0" xfId="0"/>
    <xf numFmtId="3" fontId="5" fillId="9" borderId="2" applyAlignment="1" pivotButton="0" quotePrefix="0" xfId="0">
      <alignment vertical="top" wrapText="1"/>
    </xf>
    <xf numFmtId="164" fontId="5" fillId="9" borderId="2" applyAlignment="1" pivotButton="0" quotePrefix="0" xfId="0">
      <alignment vertical="top" wrapText="1"/>
    </xf>
    <xf numFmtId="0" fontId="4" fillId="12" borderId="0" pivotButton="0" quotePrefix="0" xfId="0"/>
    <xf numFmtId="0" fontId="0" fillId="8" borderId="0" pivotButton="0" quotePrefix="0" xfId="0"/>
    <xf numFmtId="0" fontId="4" fillId="11" borderId="0" pivotButton="0" quotePrefix="0" xfId="0"/>
    <xf numFmtId="2" fontId="5" fillId="0" borderId="2" pivotButton="0" quotePrefix="0" xfId="0"/>
    <xf numFmtId="4" fontId="5" fillId="0" borderId="2" applyAlignment="1" pivotButton="0" quotePrefix="0" xfId="0">
      <alignment vertical="top" wrapText="1"/>
    </xf>
    <xf numFmtId="4" fontId="5" fillId="13" borderId="2" applyAlignment="1" pivotButton="0" quotePrefix="0" xfId="0">
      <alignment vertical="top" wrapText="1"/>
    </xf>
    <xf numFmtId="0" fontId="4" fillId="7" borderId="0" pivotButton="0" quotePrefix="0" xfId="0"/>
    <xf numFmtId="0" fontId="5" fillId="0" borderId="0" pivotButton="0" quotePrefix="0" xfId="0"/>
    <xf numFmtId="0" fontId="5" fillId="8" borderId="0" pivotButton="0" quotePrefix="0" xfId="0"/>
    <xf numFmtId="9" fontId="5" fillId="8" borderId="0" pivotButton="0" quotePrefix="0" xfId="0"/>
    <xf numFmtId="165" fontId="5" fillId="0" borderId="2" pivotButton="0" quotePrefix="0" xfId="0"/>
    <xf numFmtId="0" fontId="5" fillId="8" borderId="0" applyAlignment="1" pivotButton="0" quotePrefix="0" xfId="0">
      <alignment wrapText="1"/>
    </xf>
    <xf numFmtId="0" fontId="5" fillId="13" borderId="2" applyAlignment="1" pivotButton="0" quotePrefix="0" xfId="0">
      <alignment vertical="top" wrapText="1"/>
    </xf>
    <xf numFmtId="0" fontId="5" fillId="14" borderId="2" applyAlignment="1" pivotButton="0" quotePrefix="0" xfId="0">
      <alignment vertical="top" wrapText="1"/>
    </xf>
    <xf numFmtId="0" fontId="18" fillId="13" borderId="2" applyAlignment="1" pivotButton="0" quotePrefix="0" xfId="0">
      <alignment vertical="top" wrapText="1"/>
    </xf>
    <xf numFmtId="0" fontId="18" fillId="8" borderId="2" applyAlignment="1" pivotButton="0" quotePrefix="0" xfId="0">
      <alignment vertical="top" wrapText="1"/>
    </xf>
    <xf numFmtId="0" fontId="18" fillId="9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重复放置价格曲线</a:t>
            </a:r>
          </a:p>
        </rich>
      </tx>
    </title>
    <plotArea>
      <lineChart>
        <grouping val="standard"/>
        <ser>
          <idx val="0"/>
          <order val="0"/>
          <tx>
            <strRef>
              <f>'Balance'!B25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'Balance'!$A$26:$A$76</f>
            </numRef>
          </cat>
          <val>
            <numRef>
              <f>'Balance'!$B$26:$B$76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已拥有数量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下一件价格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J6" authorId="0" shapeId="0">
      <text>
        <t>Node_ID: pickaxe_overkill
前置: pickaxe_crit_power
点击跳转到数据行。</t>
      </text>
    </comment>
    <comment ref="N6" authorId="0" shapeId="0">
      <text>
        <t>Node_ID: pickaxe_shockwave
前置: pickaxe_double
点击跳转到数据行。</t>
      </text>
    </comment>
    <comment ref="J8" authorId="0" shapeId="0">
      <text>
        <t>Node_ID: pickaxe_crit_power
前置: pickaxe_crit
点击跳转到数据行。</t>
      </text>
    </comment>
    <comment ref="N8" authorId="0" shapeId="0">
      <text>
        <t>Node_ID: pickaxe_double
前置: pickaxe_crit
点击跳转到数据行。</t>
      </text>
    </comment>
    <comment ref="L10" authorId="0" shapeId="0">
      <text>
        <t>Node_ID: pickaxe_crit
前置: pickaxe_sharp
点击跳转到数据行。</t>
      </text>
    </comment>
    <comment ref="L12" authorId="0" shapeId="0">
      <text>
        <t>Node_ID: pickaxe_sharp
前置: pickaxe_tempered
点击跳转到数据行。</t>
      </text>
    </comment>
    <comment ref="D14" authorId="0" shapeId="0">
      <text>
        <t>Node_ID: coin_stone_appraiser
前置: coin_streak
点击跳转到数据行。</t>
      </text>
    </comment>
    <comment ref="L14" authorId="0" shapeId="0">
      <text>
        <t>Node_ID: pickaxe_tempered
前置: 分支起点
点击跳转到数据行。</t>
      </text>
    </comment>
    <comment ref="R14" authorId="0" shapeId="0">
      <text>
        <t>Node_ID: ore_large_vein
前置: ore_unlock_crystal
点击跳转到数据行。</t>
      </text>
    </comment>
    <comment ref="T14" authorId="0" shapeId="0">
      <text>
        <t>Node_ID: ore_giant_vein
前置: ore_large_vein
点击跳转到数据行。</t>
      </text>
    </comment>
    <comment ref="V14" authorId="0" shapeId="0">
      <text>
        <t>Node_ID: ore_rare_focus
前置: ore_unlock_diamond,ore_giant_vein
点击跳转到数据行。</t>
      </text>
    </comment>
    <comment ref="B16" authorId="0" shapeId="0">
      <text>
        <t>Node_ID: coin_golden_ratio
前置: coin_stone_appraiser,coin_record_fever
点击跳转到数据行。</t>
      </text>
    </comment>
    <comment ref="F16" authorId="0" shapeId="0">
      <text>
        <t>Node_ID: coin_streak
前置: coin_handmade
点击跳转到数据行。</t>
      </text>
    </comment>
    <comment ref="H16" authorId="0" shapeId="0">
      <text>
        <t>Node_ID: coin_handmade
前置: coin_appraisal
点击跳转到数据行。</t>
      </text>
    </comment>
    <comment ref="J16" authorId="0" shapeId="0">
      <text>
        <t>Node_ID: coin_appraisal
前置: 分支起点
点击跳转到数据行。</t>
      </text>
    </comment>
    <comment ref="L16" authorId="0" shapeId="0">
      <text>
        <t>这是操作按钮，不是可购买天赋。</t>
      </text>
    </comment>
    <comment ref="N16" authorId="0" shapeId="0">
      <text>
        <t>Node_ID: ore_unlock_gold
前置: 分支起点
点击跳转到数据行。</t>
      </text>
    </comment>
    <comment ref="P16" authorId="0" shapeId="0">
      <text>
        <t>Node_ID: ore_unlock_crystal
前置: ore_unlock_gold
点击跳转到数据行。</t>
      </text>
    </comment>
    <comment ref="R16" authorId="0" shapeId="0">
      <text>
        <t>Node_ID: ore_unlock_obsidian
前置: ore_unlock_crystal
点击跳转到数据行。</t>
      </text>
    </comment>
    <comment ref="T16" authorId="0" shapeId="0">
      <text>
        <t>Node_ID: ore_unlock_diamond
前置: ore_unlock_obsidian
点击跳转到数据行。</t>
      </text>
    </comment>
    <comment ref="V16" authorId="0" shapeId="0">
      <text>
        <t>Node_ID: ore_unlock_cat
前置: ore_unlock_diamond
点击跳转到数据行。</t>
      </text>
    </comment>
    <comment ref="D18" authorId="0" shapeId="0">
      <text>
        <t>Node_ID: coin_record_fever
前置: coin_streak
点击跳转到数据行。</t>
      </text>
    </comment>
    <comment ref="L18" authorId="0" shapeId="0">
      <text>
        <t>Node_ID: tile_unlock_stone
前置: 分支起点
点击跳转到数据行。</t>
      </text>
    </comment>
    <comment ref="J20" authorId="0" shapeId="0">
      <text>
        <t>Node_ID: tile_unlock_water
前置: tile_unlock_stone
点击跳转到数据行。</t>
      </text>
    </comment>
    <comment ref="N20" authorId="0" shapeId="0">
      <text>
        <t>Node_ID: tile_unlock_fire
前置: tile_unlock_stone
点击跳转到数据行。</t>
      </text>
    </comment>
    <comment ref="H22" authorId="0" shapeId="0">
      <text>
        <t>Node_ID: tile_unlock_pull
前置: tile_unlock_water
点击跳转到数据行。</t>
      </text>
    </comment>
    <comment ref="L22" authorId="0" shapeId="0">
      <text>
        <t>Node_ID: tile_unlock_push
前置: tile_unlock_water
点击跳转到数据行。</t>
      </text>
    </comment>
    <comment ref="P22" authorId="0" shapeId="0">
      <text>
        <t>Node_ID: tile_unlock_volcano
前置: tile_unlock_fire
点击跳转到数据行。</t>
      </text>
    </comment>
    <comment ref="H24" authorId="0" shapeId="0">
      <text>
        <t>Node_ID: tile_unlock_spawn
前置: tile_unlock_pull,tile_unlock_push,ore_unlock_crystal
点击跳转到数据行。</t>
      </text>
    </comment>
    <comment ref="L24" authorId="0" shapeId="0">
      <text>
        <t>Node_ID: tile_unlock_upgrade
前置: tile_unlock_fire,ore_large_vein
点击跳转到数据行。</t>
      </text>
    </comment>
    <comment ref="P24" authorId="0" shapeId="0">
      <text>
        <t>Node_ID: tile_fire_rate
前置: tile_unlock_fire
点击跳转到数据行。</t>
      </text>
    </comment>
    <comment ref="H26" authorId="0" shapeId="0">
      <text>
        <t>Node_ID: tile_water_salvage
前置: tile_unlock_water
点击跳转到数据行。</t>
      </text>
    </comment>
    <comment ref="L26" authorId="0" shapeId="0">
      <text>
        <t>Node_ID: tile_unlock_rarity
前置: tile_unlock_spawn,tile_unlock_upgrade
点击跳转到数据行。</t>
      </text>
    </comment>
    <comment ref="P26" authorId="0" shapeId="0">
      <text>
        <t>Node_ID: tile_stone_value
前置: tile_unlock_stone
点击跳转到数据行。</t>
      </text>
    </comment>
    <comment ref="J28" authorId="0" shapeId="0">
      <text>
        <t>Node_ID: tile_grass_damage
前置: tile_unlock_stone
点击跳转到数据行。</t>
      </text>
    </comment>
    <comment ref="N28" authorId="0" shapeId="0">
      <text>
        <t>Node_ID: tile_network
前置: tile_unlock_rarity,tile_unlock_volcano
点击跳转到数据行。</t>
      </text>
    </comment>
    <comment ref="D34" authorId="0" shapeId="0">
      <text>
        <t>Node_ID: meta_permanent_slot_2
前置: meta_geology_synergy,meta_golden_vein
点击跳转到数据行。</t>
      </text>
    </comment>
    <comment ref="H34" authorId="0" shapeId="0">
      <text>
        <t>Node_ID: meta_automation_network
前置: meta_golden_vein
点击跳转到数据行。</t>
      </text>
    </comment>
    <comment ref="B36" authorId="0" shapeId="0">
      <text>
        <t>Node_ID: meta_geology_synergy
前置: meta_permanent_slot_1
点击跳转到数据行。</t>
      </text>
    </comment>
    <comment ref="F36" authorId="0" shapeId="0">
      <text>
        <t>Node_ID: meta_golden_vein
前置: meta_auto_pick,meta_offline
点击跳转到数据行。</t>
      </text>
    </comment>
    <comment ref="B38" authorId="0" shapeId="0">
      <text>
        <t>Node_ID: meta_permanent_slot_1
前置: meta_start_cache
点击跳转到数据行。</t>
      </text>
    </comment>
    <comment ref="F38" authorId="0" shapeId="0">
      <text>
        <t>Node_ID: meta_auto_pick
前置: meta_start_cache,meta_deep_pockets
点击跳转到数据行。</t>
      </text>
    </comment>
    <comment ref="J38" authorId="0" shapeId="0">
      <text>
        <t>Node_ID: meta_offline
前置: meta_deep_pockets
点击跳转到数据行。</t>
      </text>
    </comment>
    <comment ref="D40" authorId="0" shapeId="0">
      <text>
        <t>Node_ID: meta_start_cache
前置: 分支起点
点击跳转到数据行。</t>
      </text>
    </comment>
    <comment ref="H40" authorId="0" shapeId="0">
      <text>
        <t>Node_ID: meta_deep_pockets
前置: 分支起点
点击跳转到数据行。</t>
      </text>
    </comment>
    <comment ref="F42" authorId="0" shapeId="0">
      <text>
        <t>这是操作按钮，不是可购买天赋。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sicTalentTable" displayName="BasicTalentTable" ref="A4:AB39" headerRowCount="1">
  <autoFilter ref="A4:AB39"/>
  <tableColumns count="28">
    <tableColumn id="1" name="Node_ID"/>
    <tableColumn id="2" name="名称"/>
    <tableColumn id="3" name="分支"/>
    <tableColumn id="4" name="层级"/>
    <tableColumn id="5" name="X"/>
    <tableColumn id="6" name="Y"/>
    <tableColumn id="7" name="前置_IDs"/>
    <tableColumn id="8" name="最大等级"/>
    <tableColumn id="9" name="货币"/>
    <tableColumn id="10" name="基础成本"/>
    <tableColumn id="11" name="等级成本倍率"/>
    <tableColumn id="12" name="Rank1成本"/>
    <tableColumn id="13" name="Rank2成本"/>
    <tableColumn id="14" name="Rank3成本"/>
    <tableColumn id="15" name="解锁条件"/>
    <tableColumn id="16" name="Effect_Type"/>
    <tableColumn id="17" name="Target_Kind"/>
    <tableColumn id="18" name="Target_ID"/>
    <tableColumn id="19" name="Operation"/>
    <tableColumn id="20" name="每级数值"/>
    <tableColumn id="21" name="上限"/>
    <tableColumn id="22" name="重置行为"/>
    <tableColumn id="23" name="玩家描述"/>
    <tableColumn id="24" name="估算ΔCPS"/>
    <tableColumn id="25" name="Rank1回本秒"/>
    <tableColumn id="26" name="目标回本秒"/>
    <tableColumn id="27" name="建议基础成本"/>
    <tableColumn id="28" name="实现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vancedTalentTable" displayName="AdvancedTalentTable" ref="A4:N13" headerRowCount="1">
  <autoFilter ref="A4:N13"/>
  <tableColumns count="14">
    <tableColumn id="1" name="Node_ID"/>
    <tableColumn id="2" name="名称"/>
    <tableColumn id="3" name="层级"/>
    <tableColumn id="4" name="X"/>
    <tableColumn id="5" name="Y"/>
    <tableColumn id="6" name="前置_IDs"/>
    <tableColumn id="7" name="升华点成本"/>
    <tableColumn id="8" name="Effect_Type"/>
    <tableColumn id="9" name="Target_ID"/>
    <tableColumn id="10" name="Operation"/>
    <tableColumn id="11" name="数值"/>
    <tableColumn id="12" name="永久性"/>
    <tableColumn id="13" name="玩家描述"/>
    <tableColumn id="14" name="实现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entCatalogTable" displayName="ContentCatalogTable" ref="A4:O23" headerRowCount="1">
  <autoFilter ref="A4:O23"/>
  <tableColumns count="15">
    <tableColumn id="1" name="类型"/>
    <tableColumn id="2" name="ID"/>
    <tableColumn id="3" name="名称"/>
    <tableColumn id="4" name="稀有度/行为"/>
    <tableColumn id="5" name="基础价值/价值倍率"/>
    <tableColumn id="6" name="生成权重/触发间隔"/>
    <tableColumn id="7" name="基础HP/伤害"/>
    <tableColumn id="8" name="当前代码开局可用"/>
    <tableColumn id="9" name="V2建议开局可用"/>
    <tableColumn id="10" name="解锁天赋"/>
    <tableColumn id="11" name="建议放置基础成本"/>
    <tableColumn id="12" name="资源路径"/>
    <tableColumn id="13" name="说明"/>
    <tableColumn id="14" name="V2建议基础价值/倍率"/>
    <tableColumn id="15" name="V2数值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ngeLogTable" displayName="ChangeLogTable" ref="A4:F16" headerRowCount="1">
  <autoFilter ref="A4:F16"/>
  <tableColumns count="6">
    <tableColumn id="1" name="优先级"/>
    <tableColumn id="2" name="类别"/>
    <tableColumn id="3" name="变更"/>
    <tableColumn id="4" name="原因"/>
    <tableColumn id="5" name="代码影响"/>
    <tableColumn id="6" name="验收条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Basic_Talents'!A10" TargetMode="External" Id="rId1"/><Relationship Type="http://schemas.openxmlformats.org/officeDocument/2006/relationships/hyperlink" Target="#'Basic_Talents'!A11" TargetMode="External" Id="rId2"/><Relationship Type="http://schemas.openxmlformats.org/officeDocument/2006/relationships/hyperlink" Target="#'Basic_Talents'!A8" TargetMode="External" Id="rId3"/><Relationship Type="http://schemas.openxmlformats.org/officeDocument/2006/relationships/hyperlink" Target="#'Basic_Talents'!A9" TargetMode="External" Id="rId4"/><Relationship Type="http://schemas.openxmlformats.org/officeDocument/2006/relationships/hyperlink" Target="#'Basic_Talents'!A7" TargetMode="External" Id="rId5"/><Relationship Type="http://schemas.openxmlformats.org/officeDocument/2006/relationships/hyperlink" Target="#'Basic_Talents'!A6" TargetMode="External" Id="rId6"/><Relationship Type="http://schemas.openxmlformats.org/officeDocument/2006/relationships/hyperlink" Target="#'Basic_Talents'!A15" TargetMode="External" Id="rId7"/><Relationship Type="http://schemas.openxmlformats.org/officeDocument/2006/relationships/hyperlink" Target="#'Basic_Talents'!A5" TargetMode="External" Id="rId8"/><Relationship Type="http://schemas.openxmlformats.org/officeDocument/2006/relationships/hyperlink" Target="#'Basic_Talents'!A23" TargetMode="External" Id="rId9"/><Relationship Type="http://schemas.openxmlformats.org/officeDocument/2006/relationships/hyperlink" Target="#'Basic_Talents'!A24" TargetMode="External" Id="rId10"/><Relationship Type="http://schemas.openxmlformats.org/officeDocument/2006/relationships/hyperlink" Target="#'Basic_Talents'!A25" TargetMode="External" Id="rId11"/><Relationship Type="http://schemas.openxmlformats.org/officeDocument/2006/relationships/hyperlink" Target="#'Basic_Talents'!A17" TargetMode="External" Id="rId12"/><Relationship Type="http://schemas.openxmlformats.org/officeDocument/2006/relationships/hyperlink" Target="#'Basic_Talents'!A14" TargetMode="External" Id="rId13"/><Relationship Type="http://schemas.openxmlformats.org/officeDocument/2006/relationships/hyperlink" Target="#'Basic_Talents'!A13" TargetMode="External" Id="rId14"/><Relationship Type="http://schemas.openxmlformats.org/officeDocument/2006/relationships/hyperlink" Target="#'Basic_Talents'!A12" TargetMode="External" Id="rId15"/><Relationship Type="http://schemas.openxmlformats.org/officeDocument/2006/relationships/hyperlink" Target="#'Basic_Talents'!A18" TargetMode="External" Id="rId16"/><Relationship Type="http://schemas.openxmlformats.org/officeDocument/2006/relationships/hyperlink" Target="#'Basic_Talents'!A19" TargetMode="External" Id="rId17"/><Relationship Type="http://schemas.openxmlformats.org/officeDocument/2006/relationships/hyperlink" Target="#'Basic_Talents'!A20" TargetMode="External" Id="rId18"/><Relationship Type="http://schemas.openxmlformats.org/officeDocument/2006/relationships/hyperlink" Target="#'Basic_Talents'!A21" TargetMode="External" Id="rId19"/><Relationship Type="http://schemas.openxmlformats.org/officeDocument/2006/relationships/hyperlink" Target="#'Basic_Talents'!A22" TargetMode="External" Id="rId20"/><Relationship Type="http://schemas.openxmlformats.org/officeDocument/2006/relationships/hyperlink" Target="#'Basic_Talents'!A16" TargetMode="External" Id="rId21"/><Relationship Type="http://schemas.openxmlformats.org/officeDocument/2006/relationships/hyperlink" Target="#'Basic_Talents'!A26" TargetMode="External" Id="rId22"/><Relationship Type="http://schemas.openxmlformats.org/officeDocument/2006/relationships/hyperlink" Target="#'Basic_Talents'!A27" TargetMode="External" Id="rId23"/><Relationship Type="http://schemas.openxmlformats.org/officeDocument/2006/relationships/hyperlink" Target="#'Basic_Talents'!A28" TargetMode="External" Id="rId24"/><Relationship Type="http://schemas.openxmlformats.org/officeDocument/2006/relationships/hyperlink" Target="#'Basic_Talents'!A29" TargetMode="External" Id="rId25"/><Relationship Type="http://schemas.openxmlformats.org/officeDocument/2006/relationships/hyperlink" Target="#'Basic_Talents'!A30" TargetMode="External" Id="rId26"/><Relationship Type="http://schemas.openxmlformats.org/officeDocument/2006/relationships/hyperlink" Target="#'Basic_Talents'!A31" TargetMode="External" Id="rId27"/><Relationship Type="http://schemas.openxmlformats.org/officeDocument/2006/relationships/hyperlink" Target="#'Basic_Talents'!A32" TargetMode="External" Id="rId28"/><Relationship Type="http://schemas.openxmlformats.org/officeDocument/2006/relationships/hyperlink" Target="#'Basic_Talents'!A33" TargetMode="External" Id="rId29"/><Relationship Type="http://schemas.openxmlformats.org/officeDocument/2006/relationships/hyperlink" Target="#'Basic_Talents'!A34" TargetMode="External" Id="rId30"/><Relationship Type="http://schemas.openxmlformats.org/officeDocument/2006/relationships/hyperlink" Target="#'Basic_Talents'!A35" TargetMode="External" Id="rId31"/><Relationship Type="http://schemas.openxmlformats.org/officeDocument/2006/relationships/hyperlink" Target="#'Basic_Talents'!A36" TargetMode="External" Id="rId32"/><Relationship Type="http://schemas.openxmlformats.org/officeDocument/2006/relationships/hyperlink" Target="#'Basic_Talents'!A37" TargetMode="External" Id="rId33"/><Relationship Type="http://schemas.openxmlformats.org/officeDocument/2006/relationships/hyperlink" Target="#'Basic_Talents'!A38" TargetMode="External" Id="rId34"/><Relationship Type="http://schemas.openxmlformats.org/officeDocument/2006/relationships/hyperlink" Target="#'Basic_Talents'!A39" TargetMode="External" Id="rId35"/><Relationship Type="http://schemas.openxmlformats.org/officeDocument/2006/relationships/hyperlink" Target="#'Advanced_Talents'!A12" TargetMode="External" Id="rId36"/><Relationship Type="http://schemas.openxmlformats.org/officeDocument/2006/relationships/hyperlink" Target="#'Advanced_Talents'!A13" TargetMode="External" Id="rId37"/><Relationship Type="http://schemas.openxmlformats.org/officeDocument/2006/relationships/hyperlink" Target="#'Advanced_Talents'!A10" TargetMode="External" Id="rId38"/><Relationship Type="http://schemas.openxmlformats.org/officeDocument/2006/relationships/hyperlink" Target="#'Advanced_Talents'!A11" TargetMode="External" Id="rId39"/><Relationship Type="http://schemas.openxmlformats.org/officeDocument/2006/relationships/hyperlink" Target="#'Advanced_Talents'!A7" TargetMode="External" Id="rId40"/><Relationship Type="http://schemas.openxmlformats.org/officeDocument/2006/relationships/hyperlink" Target="#'Advanced_Talents'!A8" TargetMode="External" Id="rId41"/><Relationship Type="http://schemas.openxmlformats.org/officeDocument/2006/relationships/hyperlink" Target="#'Advanced_Talents'!A9" TargetMode="External" Id="rId42"/><Relationship Type="http://schemas.openxmlformats.org/officeDocument/2006/relationships/hyperlink" Target="#'Advanced_Talents'!A5" TargetMode="External" Id="rId43"/><Relationship Type="http://schemas.openxmlformats.org/officeDocument/2006/relationships/hyperlink" Target="#'Advanced_Talents'!A6" TargetMode="External" Id="rId4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  <col width="32" customWidth="1" min="4" max="4"/>
    <col width="18" customWidth="1" min="5" max="5"/>
    <col width="18" customWidth="1" min="6" max="6"/>
    <col width="28" customWidth="1" min="7" max="7"/>
  </cols>
  <sheetData>
    <row r="1" ht="34" customHeight="1">
      <c r="A1" s="1" t="inlineStr">
        <is>
          <t>天赋设计 V2 · 规则</t>
        </is>
      </c>
    </row>
    <row r="2" ht="30" customHeight="1">
      <c r="A2" s="2" t="inlineStr">
        <is>
          <t>这张表是系统规则的权威说明；Tree_View 只负责展示，Basic/Advanced 数据表才用于实现。</t>
        </is>
      </c>
    </row>
    <row r="4" ht="25" customHeight="1">
      <c r="A4" s="3" t="inlineStr">
        <is>
          <t>文档定位</t>
        </is>
      </c>
    </row>
    <row r="5" ht="34" customHeight="1">
      <c r="A5" s="4" t="inlineStr">
        <is>
          <t>规则项</t>
        </is>
      </c>
      <c r="B5" s="4" t="inlineStr">
        <is>
          <t>定义/公式</t>
        </is>
      </c>
      <c r="C5" s="4" t="inlineStr">
        <is>
          <t>设计意图</t>
        </is>
      </c>
      <c r="D5" s="4" t="inlineStr">
        <is>
          <t>实现约束</t>
        </is>
      </c>
      <c r="E5" s="4" t="n"/>
      <c r="F5" s="4" t="n"/>
      <c r="G5" s="4" t="n"/>
    </row>
    <row r="6" ht="44" customHeight="1">
      <c r="A6" s="5" t="inlineStr">
        <is>
          <t>Basic</t>
        </is>
      </c>
      <c r="B6" s="5" t="inlineStr">
        <is>
          <t>本轮成长</t>
        </is>
      </c>
      <c r="C6" s="5" t="inlineStr">
        <is>
          <t>使用金币购买；升华时重置。</t>
        </is>
      </c>
      <c r="D6" s="5" t="inlineStr">
        <is>
          <t>改变本轮操作、收益、矿池与地块构筑。</t>
        </is>
      </c>
      <c r="E6" s="5" t="n"/>
      <c r="F6" s="5" t="n"/>
      <c r="G6" s="5" t="n"/>
    </row>
    <row r="7" ht="44" customHeight="1">
      <c r="A7" s="6" t="inlineStr">
        <is>
          <t>Advanced</t>
        </is>
      </c>
      <c r="B7" s="6" t="inlineStr">
        <is>
          <t>永久成长</t>
        </is>
      </c>
      <c r="C7" s="6" t="inlineStr">
        <is>
          <t>使用升华点购买；永久保留。</t>
        </is>
      </c>
      <c r="D7" s="6" t="inlineStr">
        <is>
          <t>优先提供自动化、离线、保留槽与新规则。</t>
        </is>
      </c>
      <c r="E7" s="6" t="n"/>
      <c r="F7" s="6" t="n"/>
      <c r="G7" s="6" t="n"/>
    </row>
    <row r="8" ht="44" customHeight="1">
      <c r="A8" s="5" t="inlineStr">
        <is>
          <t>重置·升华</t>
        </is>
      </c>
      <c r="B8" s="5" t="inlineStr">
        <is>
          <t>中心操作</t>
        </is>
      </c>
      <c r="C8" s="5" t="inlineStr">
        <is>
          <t>不是价格为0的普通天赋。</t>
        </is>
      </c>
      <c r="D8" s="5" t="inlineStr">
        <is>
          <t>显示本次可得点数、下一点门槛和重置清单。</t>
        </is>
      </c>
      <c r="E8" s="5" t="n"/>
      <c r="F8" s="5" t="n"/>
      <c r="G8" s="5" t="n"/>
    </row>
    <row r="10" ht="25" customHeight="1">
      <c r="A10" s="3" t="inlineStr">
        <is>
          <t>叠加顺序</t>
        </is>
      </c>
    </row>
    <row r="11" ht="34" customHeight="1">
      <c r="A11" s="4" t="inlineStr">
        <is>
          <t>规则项</t>
        </is>
      </c>
      <c r="B11" s="4" t="inlineStr">
        <is>
          <t>定义/公式</t>
        </is>
      </c>
      <c r="C11" s="4" t="inlineStr">
        <is>
          <t>设计意图</t>
        </is>
      </c>
      <c r="D11" s="4" t="inlineStr">
        <is>
          <t>实现约束</t>
        </is>
      </c>
      <c r="E11" s="4" t="n"/>
      <c r="F11" s="4" t="n"/>
      <c r="G11" s="4" t="n"/>
    </row>
    <row r="12" ht="44" customHeight="1">
      <c r="A12" s="5" t="inlineStr">
        <is>
          <t>通用公式</t>
        </is>
      </c>
      <c r="B12" s="5" t="inlineStr">
        <is>
          <t>最终值 = (基础值 + 固定加成) × (1 + 同类百分比之和) × 矿物层 × 地块层 × Prestige层 × 临时Buff层</t>
        </is>
      </c>
      <c r="C12" s="5" t="inlineStr">
        <is>
          <t>同一类先相加，不同系统才相乘。</t>
        </is>
      </c>
      <c r="D12" s="5" t="inlineStr">
        <is>
          <t>普通天赋避免新增独立乘区。</t>
        </is>
      </c>
      <c r="E12" s="5" t="n"/>
      <c r="F12" s="5" t="n"/>
      <c r="G12" s="5" t="n"/>
    </row>
    <row r="13" ht="44" customHeight="1">
      <c r="A13" s="6" t="inlineStr">
        <is>
          <t>里程碑倍率</t>
        </is>
      </c>
      <c r="B13" s="6" t="inlineStr">
        <is>
          <t>×2只用于分支终点、稀有事件或明确里程碑。</t>
        </is>
      </c>
      <c r="C13" s="6" t="inlineStr">
        <is>
          <t>永久普通节点单独不应跨越多个内容阶段。</t>
        </is>
      </c>
      <c r="D13" s="6" t="inlineStr">
        <is>
          <t>临时Buff可以强，但要限制持续时间和组合。</t>
        </is>
      </c>
      <c r="E13" s="6" t="n"/>
      <c r="F13" s="6" t="n"/>
      <c r="G13" s="6" t="n"/>
    </row>
    <row r="14" ht="44" customHeight="1">
      <c r="A14" s="5" t="inlineStr">
        <is>
          <t>速度</t>
        </is>
      </c>
      <c r="B14" s="5" t="inlineStr">
        <is>
          <t>所有周期效率写成 rate bonus。</t>
        </is>
      </c>
      <c r="C14" s="5" t="inlineStr">
        <is>
          <t>effective_interval = base_interval / (1 + rate_bonus)</t>
        </is>
      </c>
      <c r="D14" s="5" t="inlineStr">
        <is>
          <t>有效间隔下限建议0.25秒。</t>
        </is>
      </c>
      <c r="E14" s="5" t="n"/>
      <c r="F14" s="5" t="n"/>
      <c r="G14" s="5" t="n"/>
    </row>
    <row r="15" ht="44" customHeight="1">
      <c r="A15" s="6" t="inlineStr">
        <is>
          <t>上限</t>
        </is>
      </c>
      <c r="B15" s="6" t="inlineStr">
        <is>
          <t>暴击率≤50%；连击金币≤100%；单条协同≤3倍；water返还≤20%。</t>
        </is>
      </c>
      <c r="C15" s="6" t="inlineStr">
        <is>
          <t>上限写进数据表，不靠描述约定。</t>
        </is>
      </c>
      <c r="D15" s="6" t="inlineStr">
        <is>
          <t>同一效果的多个入口必须共享上限。</t>
        </is>
      </c>
      <c r="E15" s="6" t="n"/>
      <c r="F15" s="6" t="n"/>
      <c r="G15" s="6" t="n"/>
    </row>
    <row r="17" ht="25" customHeight="1">
      <c r="A17" s="3" t="inlineStr">
        <is>
          <t>成本与回本</t>
        </is>
      </c>
    </row>
    <row r="18" ht="34" customHeight="1">
      <c r="A18" s="4" t="inlineStr">
        <is>
          <t>规则项</t>
        </is>
      </c>
      <c r="B18" s="4" t="inlineStr">
        <is>
          <t>定义/公式</t>
        </is>
      </c>
      <c r="C18" s="4" t="inlineStr">
        <is>
          <t>设计意图</t>
        </is>
      </c>
      <c r="D18" s="4" t="inlineStr">
        <is>
          <t>实现约束</t>
        </is>
      </c>
      <c r="E18" s="4" t="n"/>
      <c r="F18" s="4" t="n"/>
      <c r="G18" s="4" t="n"/>
    </row>
    <row r="19" ht="44" customHeight="1">
      <c r="A19" s="6" t="inlineStr">
        <is>
          <t>天赋等级</t>
        </is>
      </c>
      <c r="B19" s="6" t="inlineStr">
        <is>
          <t>rank_cost = round(base_cost × growth^(rank-1))</t>
        </is>
      </c>
      <c r="C19" s="6" t="inlineStr">
        <is>
          <t>普通可升级天赋默认 growth=4~5。</t>
        </is>
      </c>
      <c r="D19" s="6" t="inlineStr">
        <is>
          <t>关键节点使用人工成本，不按树圈数×1000。</t>
        </is>
      </c>
      <c r="E19" s="6" t="n"/>
      <c r="F19" s="6" t="n"/>
      <c r="G19" s="6" t="n"/>
    </row>
    <row r="20" ht="44" customHeight="1">
      <c r="A20" s="5" t="inlineStr">
        <is>
          <t>重复放置</t>
        </is>
      </c>
      <c r="B20" s="5" t="inlineStr">
        <is>
          <t>place_cost = ceil(place_base_cost × 1.15^owned)</t>
        </is>
      </c>
      <c r="C20" s="5" t="inlineStr">
        <is>
          <t>只用于实际拥有的重复地块/设施。</t>
        </is>
      </c>
      <c r="D20" s="5" t="inlineStr">
        <is>
          <t>出售返还建议25%，避免买卖套利。</t>
        </is>
      </c>
      <c r="E20" s="5" t="n"/>
      <c r="F20" s="5" t="n"/>
      <c r="G20" s="5" t="n"/>
    </row>
    <row r="21" ht="44" customHeight="1">
      <c r="A21" s="6" t="inlineStr">
        <is>
          <t>定价依据</t>
        </is>
      </c>
      <c r="B21" s="6" t="inlineStr">
        <is>
          <t>payback_seconds = cost / estimated_delta_cps</t>
        </is>
      </c>
      <c r="C21" s="6" t="inlineStr">
        <is>
          <t>早期目标60~90秒；中期约300秒；里程碑约600秒。</t>
        </is>
      </c>
      <c r="D21" s="6" t="inlineStr">
        <is>
          <t>解锁/玩法节点允许无直接回本，但要标注内容价值。</t>
        </is>
      </c>
      <c r="E21" s="6" t="n"/>
      <c r="F21" s="6" t="n"/>
      <c r="G21" s="6" t="n"/>
    </row>
    <row r="23" ht="25" customHeight="1">
      <c r="A23" s="3" t="inlineStr">
        <is>
          <t>升华</t>
        </is>
      </c>
    </row>
    <row r="24" ht="34" customHeight="1">
      <c r="A24" s="4" t="inlineStr">
        <is>
          <t>规则项</t>
        </is>
      </c>
      <c r="B24" s="4" t="inlineStr">
        <is>
          <t>定义/公式</t>
        </is>
      </c>
      <c r="C24" s="4" t="inlineStr">
        <is>
          <t>设计意图</t>
        </is>
      </c>
      <c r="D24" s="4" t="inlineStr">
        <is>
          <t>实现约束</t>
        </is>
      </c>
      <c r="E24" s="4" t="n"/>
      <c r="F24" s="4" t="n"/>
      <c r="G24" s="4" t="n"/>
    </row>
    <row r="25" ht="44" customHeight="1">
      <c r="A25" s="6" t="inlineStr">
        <is>
          <t>门槛</t>
        </is>
      </c>
      <c r="B25" s="6" t="inlineStr">
        <is>
          <t>C = 第一次升华要求的终身金币；本版默认1,000,000。</t>
        </is>
      </c>
      <c r="C25" s="6" t="inlineStr">
        <is>
          <t>若目标首轮仅30~60分钟，可把C降到100,000。</t>
        </is>
      </c>
      <c r="D25" s="6" t="inlineStr">
        <is>
          <t>必须用实机产出回放校准。</t>
        </is>
      </c>
      <c r="E25" s="6" t="n"/>
      <c r="F25" s="6" t="n"/>
      <c r="G25" s="6" t="n"/>
    </row>
    <row r="26" ht="44" customHeight="1">
      <c r="A26" s="5" t="inlineStr">
        <is>
          <t>总点数</t>
        </is>
      </c>
      <c r="B26" s="5" t="inlineStr">
        <is>
          <t>L&lt;C时为0；否则 floor(10 × (L/C)^(1/3))。</t>
        </is>
      </c>
      <c r="C26" s="5" t="inlineStr">
        <is>
          <t>1C=10点，8C=20点，27C=30点。</t>
        </is>
      </c>
      <c r="D26" s="5" t="inlineStr">
        <is>
          <t>实现时先转float，并在floor前做9位小数round，避免125C算成49点。</t>
        </is>
      </c>
      <c r="E26" s="5" t="n"/>
      <c r="F26" s="5" t="n"/>
      <c r="G26" s="5" t="n"/>
    </row>
    <row r="27" ht="44" customHeight="1">
      <c r="A27" s="6" t="inlineStr">
        <is>
          <t>永久倍率</t>
        </is>
      </c>
      <c r="B27" s="6" t="inlineStr">
        <is>
          <t>prestige_multiplier = 1 + 历史总升华点 × 1% + Advanced同层加成</t>
        </is>
      </c>
      <c r="C27" s="6" t="inlineStr">
        <is>
          <t>消费点数不降低永久倍率。</t>
        </is>
      </c>
      <c r="D27" s="6" t="inlineStr">
        <is>
          <t>分别保存 total_earned 与 unspent。</t>
        </is>
      </c>
      <c r="E27" s="6" t="n"/>
      <c r="F27" s="6" t="n"/>
      <c r="G27" s="6" t="n"/>
    </row>
    <row r="28" ht="44" customHeight="1">
      <c r="A28" s="5" t="inlineStr">
        <is>
          <t>重置范围</t>
        </is>
      </c>
      <c r="B28" s="5" t="inlineStr">
        <is>
          <t>清空金币、Basic等级、当前棋盘、临时Buff与本轮统计。</t>
        </is>
      </c>
      <c r="C28" s="5" t="inlineStr">
        <is>
          <t>保留终身金币、历史升华点、Advanced和永久槽。</t>
        </is>
      </c>
      <c r="D28" s="5" t="inlineStr">
        <is>
          <t>已失去解锁资格的地块不能残留在棋盘。</t>
        </is>
      </c>
      <c r="E28" s="5" t="n"/>
      <c r="F28" s="5" t="n"/>
      <c r="G28" s="5" t="n"/>
    </row>
    <row r="30" ht="25" customHeight="1">
      <c r="A30" s="3" t="inlineStr">
        <is>
          <t>V2初始内容</t>
        </is>
      </c>
    </row>
    <row r="31" ht="34" customHeight="1">
      <c r="A31" s="4" t="inlineStr">
        <is>
          <t>规则项</t>
        </is>
      </c>
      <c r="B31" s="4" t="inlineStr">
        <is>
          <t>定义/公式</t>
        </is>
      </c>
      <c r="C31" s="4" t="inlineStr">
        <is>
          <t>设计意图</t>
        </is>
      </c>
      <c r="D31" s="4" t="inlineStr">
        <is>
          <t>实现约束</t>
        </is>
      </c>
      <c r="E31" s="4" t="n"/>
      <c r="F31" s="4" t="n"/>
      <c r="G31" s="4" t="n"/>
    </row>
    <row r="32" ht="44" customHeight="1">
      <c r="A32" s="5" t="inlineStr">
        <is>
          <t>矿物</t>
        </is>
      </c>
      <c r="B32" s="5" t="inlineStr">
        <is>
          <t>初始：coal / iron / zinc。</t>
        </is>
      </c>
      <c r="C32" s="5" t="inlineStr">
        <is>
          <t>其余通过矿石分支解锁。</t>
        </is>
      </c>
      <c r="D32" s="5" t="inlineStr">
        <is>
          <t>当前代码实际会加载全部矿物，实施时需增加过滤。</t>
        </is>
      </c>
      <c r="E32" s="5" t="n"/>
      <c r="F32" s="5" t="n"/>
      <c r="G32" s="5" t="n"/>
    </row>
    <row r="33" ht="44" customHeight="1">
      <c r="A33" s="6" t="inlineStr">
        <is>
          <t>矿值阶梯</t>
        </is>
      </c>
      <c r="B33" s="6" t="inlineStr">
        <is>
          <t>V2建议：gold 12 / crystal 200 / obsidian 1.2K / diamond 5K / cat 200K。</t>
        </is>
      </c>
      <c r="C33" s="6" t="inlineStr">
        <is>
          <t>在保持现有权重与解锁价格时，各档真实回本约7~10分钟。</t>
        </is>
      </c>
      <c r="D33" s="6" t="inlineStr">
        <is>
          <t>Content_Catalog同时保留当前值和V2建议值；代码尚未修改。</t>
        </is>
      </c>
      <c r="E33" s="6" t="n"/>
      <c r="F33" s="6" t="n"/>
      <c r="G33" s="6" t="n"/>
    </row>
    <row r="34" ht="44" customHeight="1">
      <c r="A34" s="5" t="inlineStr">
        <is>
          <t>地块</t>
        </is>
      </c>
      <c r="B34" s="5" t="inlineStr">
        <is>
          <t>初始：dirt / grass。</t>
        </is>
      </c>
      <c r="C34" s="5" t="inlineStr">
        <is>
          <t>stone及以后通过地块分支解锁。</t>
        </is>
      </c>
      <c r="D34" s="5" t="inlineStr">
        <is>
          <t>当前抽屉实际显示全部地块且免费放置。</t>
        </is>
      </c>
      <c r="E34" s="5" t="n"/>
      <c r="F34" s="5" t="n"/>
      <c r="G34" s="5" t="n"/>
    </row>
    <row r="35" ht="44" customHeight="1">
      <c r="A35" s="6" t="inlineStr">
        <is>
          <t>矿物等级</t>
        </is>
      </c>
      <c r="B35" s="6" t="inlineStr">
        <is>
          <t>Lv1普通；Lv2高级；Lv3巨大。</t>
        </is>
      </c>
      <c r="C35" s="6" t="inlineStr">
        <is>
          <t>价值倍率1/2/4；HP倍率1/1.5/2.25。</t>
        </is>
      </c>
      <c r="D35" s="6" t="inlineStr">
        <is>
          <t>upgrade不可绕过等级解锁上限。</t>
        </is>
      </c>
      <c r="E35" s="6" t="n"/>
      <c r="F35" s="6" t="n"/>
      <c r="G35" s="6" t="n"/>
    </row>
    <row r="37" ht="25" customHeight="1">
      <c r="A37" s="3" t="inlineStr">
        <is>
          <t>实现契约</t>
        </is>
      </c>
    </row>
    <row r="38" ht="34" customHeight="1">
      <c r="A38" s="4" t="inlineStr">
        <is>
          <t>规则项</t>
        </is>
      </c>
      <c r="B38" s="4" t="inlineStr">
        <is>
          <t>定义/公式</t>
        </is>
      </c>
      <c r="C38" s="4" t="inlineStr">
        <is>
          <t>设计意图</t>
        </is>
      </c>
      <c r="D38" s="4" t="inlineStr">
        <is>
          <t>实现约束</t>
        </is>
      </c>
      <c r="E38" s="4" t="n"/>
      <c r="F38" s="4" t="n"/>
      <c r="G38" s="4" t="n"/>
    </row>
    <row r="39" ht="44" customHeight="1">
      <c r="A39" s="6" t="inlineStr">
        <is>
          <t>权威经济</t>
        </is>
      </c>
      <c r="B39" s="6" t="inlineStr">
        <is>
          <t>GameManager/PlayerProgression只保留一套金币与购买等级。</t>
        </is>
      </c>
      <c r="C39" s="6" t="inlineStr">
        <is>
          <t>购买必须原子扣款并立即保存。</t>
        </is>
      </c>
      <c r="D39" s="6" t="inlineStr">
        <is>
          <t>TalentGrid不再维护starting_gold演示钱包。</t>
        </is>
      </c>
      <c r="E39" s="6" t="n"/>
      <c r="F39" s="6" t="n"/>
      <c r="G39" s="6" t="n"/>
    </row>
    <row r="40" ht="44" customHeight="1">
      <c r="A40" s="5" t="inlineStr">
        <is>
          <t>奖励上下文</t>
        </is>
      </c>
      <c r="B40" s="5" t="inlineStr">
        <is>
          <t>奖励事件携带cause：manual / auto_pick / fire / volcano / water。</t>
        </is>
      </c>
      <c r="C40" s="5" t="inlineStr">
        <is>
          <t>手挖专属、连击和纪录才可正确判断。</t>
        </is>
      </c>
      <c r="D40" s="5" t="inlineStr">
        <is>
          <t>同一个入口计算全部倍率，避免重复乘算。</t>
        </is>
      </c>
      <c r="E40" s="5" t="n"/>
      <c r="F40" s="5" t="n"/>
      <c r="G40" s="5" t="n"/>
    </row>
    <row r="41" ht="44" customHeight="1">
      <c r="A41" s="6" t="inlineStr">
        <is>
          <t>数据定义</t>
        </is>
      </c>
      <c r="B41" s="6" t="inlineStr">
        <is>
          <t>TalentDef需要多个前置、等级、效果数组、上限和互斥组。</t>
        </is>
      </c>
      <c r="C41" s="6" t="inlineStr">
        <is>
          <t>缺失前置ID必须报错，不能当作无前置。</t>
        </is>
      </c>
      <c r="D41" s="6" t="inlineStr">
        <is>
          <t>运行时通过ModifierSet查询，不改共享.tres资源。</t>
        </is>
      </c>
      <c r="E41" s="6" t="n"/>
      <c r="F41" s="6" t="n"/>
      <c r="G41" s="6" t="n"/>
    </row>
    <row r="42" ht="44" customHeight="1">
      <c r="A42" s="5" t="inlineStr">
        <is>
          <t>数值范围</t>
        </is>
      </c>
      <c r="B42" s="5" t="inlineStr">
        <is>
          <t>当前金币为Godot int64。</t>
        </is>
      </c>
      <c r="C42" s="5" t="inlineStr">
        <is>
          <t>常规流程建议控制在10^15左右。</t>
        </is>
      </c>
      <c r="D42" s="5" t="inlineStr">
        <is>
          <t>若要超过Qi量级，先实现BigNumber。</t>
        </is>
      </c>
      <c r="E42" s="5" t="n"/>
      <c r="F42" s="5" t="n"/>
      <c r="G42" s="5" t="n"/>
    </row>
    <row r="44">
      <c r="A44" s="7" t="inlineStr">
        <is>
          <t>与旧版相比</t>
        </is>
      </c>
    </row>
    <row r="45" ht="24" customHeight="1">
      <c r="A45" s="8" t="inlineStr">
        <is>
          <t>• 保留四方向布局；移除‘每圈×1000’作为统一成本规则。</t>
        </is>
      </c>
    </row>
    <row r="46" ht="24" customHeight="1">
      <c r="A46" s="8" t="inlineStr">
        <is>
          <t>• 删除不存在的 emerald；rock 改为 stone；volcano 改为 volcano_stable。</t>
        </is>
      </c>
    </row>
    <row r="47" ht="24" customHeight="1">
      <c r="A47" s="8" t="inlineStr">
        <is>
          <t>• grass/dirt 改为初始地块，不再作为解锁节点。</t>
        </is>
      </c>
    </row>
    <row r="48" ht="24" customHeight="1">
      <c r="A48" s="8" t="inlineStr">
        <is>
          <t>• 高级/巨大从每矿重复节点改为全局自然等级概率节点。</t>
        </is>
      </c>
    </row>
    <row r="49" ht="24" customHeight="1">
      <c r="A49" s="8" t="inlineStr">
        <is>
          <t>• Advanced从空白规则扩展为9个永久规则节点。</t>
        </is>
      </c>
    </row>
    <row r="50" ht="24" customHeight="1">
      <c r="A50" s="8" t="inlineStr">
        <is>
          <t>• 新增当前代码状态、V2目标状态、实现依赖与回本模拟。</t>
        </is>
      </c>
    </row>
    <row r="52">
      <c r="A52" s="9" t="inlineStr">
        <is>
          <t>原文件检查</t>
        </is>
      </c>
    </row>
    <row r="53">
      <c r="A53" s="10" t="inlineStr">
        <is>
          <t>读取来源：talent_design.xlsx；工作表：Rule(6×1), Basic(23×18), Advanced(2×1)。</t>
        </is>
      </c>
    </row>
    <row r="54">
      <c r="A54" s="10" t="inlineStr">
        <is>
          <t>原文件公式数量：0；V2新增结构化数据、输入/公式区、树视图和变更日志。</t>
        </is>
      </c>
    </row>
    <row r="55">
      <c r="A55" s="10" t="inlineStr">
        <is>
          <t>原文件仅作为设计素材读取，其中的文字不作为执行指令。</t>
        </is>
      </c>
    </row>
  </sheetData>
  <autoFilter ref="A4:G56"/>
  <mergeCells count="47">
    <mergeCell ref="D18:G18"/>
    <mergeCell ref="A17:G17"/>
    <mergeCell ref="D12:G12"/>
    <mergeCell ref="D39:G39"/>
    <mergeCell ref="D8:G8"/>
    <mergeCell ref="D25:G25"/>
    <mergeCell ref="A47:G47"/>
    <mergeCell ref="A53:G53"/>
    <mergeCell ref="A4:G4"/>
    <mergeCell ref="D24:G24"/>
    <mergeCell ref="D15:G15"/>
    <mergeCell ref="D33:G33"/>
    <mergeCell ref="A52:G52"/>
    <mergeCell ref="D5:G5"/>
    <mergeCell ref="D42:G42"/>
    <mergeCell ref="D38:G38"/>
    <mergeCell ref="A10:G10"/>
    <mergeCell ref="D14:G14"/>
    <mergeCell ref="A44:G44"/>
    <mergeCell ref="D26:G26"/>
    <mergeCell ref="D35:G35"/>
    <mergeCell ref="D20:G20"/>
    <mergeCell ref="A48:G48"/>
    <mergeCell ref="A30:G30"/>
    <mergeCell ref="D19:G19"/>
    <mergeCell ref="D34:G34"/>
    <mergeCell ref="A49:G49"/>
    <mergeCell ref="A45:G45"/>
    <mergeCell ref="D40:G40"/>
    <mergeCell ref="D31:G31"/>
    <mergeCell ref="A1:G1"/>
    <mergeCell ref="D6:G6"/>
    <mergeCell ref="D21:G21"/>
    <mergeCell ref="A54:G54"/>
    <mergeCell ref="D11:G11"/>
    <mergeCell ref="D13:G13"/>
    <mergeCell ref="D27:G27"/>
    <mergeCell ref="D32:G32"/>
    <mergeCell ref="A37:G37"/>
    <mergeCell ref="A46:G46"/>
    <mergeCell ref="D41:G41"/>
    <mergeCell ref="A55:G55"/>
    <mergeCell ref="A50:G50"/>
    <mergeCell ref="D7:G7"/>
    <mergeCell ref="A2:G2"/>
    <mergeCell ref="D28:G28"/>
    <mergeCell ref="A23:G2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9"/>
  <sheetViews>
    <sheetView showGridLines="0" zoomScale="75"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9" customWidth="1" min="3" max="3"/>
    <col width="7" customWidth="1" min="4" max="4"/>
    <col width="6" customWidth="1" min="5" max="5"/>
    <col width="6" customWidth="1" min="6" max="6"/>
    <col width="34" customWidth="1" min="7" max="7"/>
    <col width="9" customWidth="1" min="8" max="8"/>
    <col width="9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25" customWidth="1" min="15" max="15"/>
    <col width="24" customWidth="1" min="16" max="16"/>
    <col width="14" customWidth="1" min="17" max="17"/>
    <col width="20" customWidth="1" min="18" max="18"/>
    <col width="15" customWidth="1" min="19" max="19"/>
    <col width="12" customWidth="1" min="20" max="20"/>
    <col width="12" customWidth="1" min="21" max="21"/>
    <col width="13" customWidth="1" min="22" max="22"/>
    <col width="42" customWidth="1" min="23" max="23"/>
    <col width="13" customWidth="1" min="24" max="24"/>
    <col width="14" customWidth="1" min="25" max="25"/>
    <col width="14" customWidth="1" min="26" max="26"/>
    <col width="15" customWidth="1" min="27" max="27"/>
    <col width="48" customWidth="1" min="28" max="28"/>
  </cols>
  <sheetData>
    <row r="1" ht="34" customHeight="1">
      <c r="A1" s="1" t="inlineStr">
        <is>
          <t>Basic Talents · 本轮天赋</t>
        </is>
      </c>
    </row>
    <row r="2" ht="30" customHeight="1">
      <c r="A2" s="2" t="inlineStr">
        <is>
          <t>一行一个节点；成本公式、回本估算和实现依赖均可筛选。黄色输入列可调整，蓝色列为公式。</t>
        </is>
      </c>
    </row>
    <row r="4" ht="34" customHeight="1">
      <c r="A4" s="4" t="inlineStr">
        <is>
          <t>Node_ID</t>
        </is>
      </c>
      <c r="B4" s="4" t="inlineStr">
        <is>
          <t>名称</t>
        </is>
      </c>
      <c r="C4" s="4" t="inlineStr">
        <is>
          <t>分支</t>
        </is>
      </c>
      <c r="D4" s="4" t="inlineStr">
        <is>
          <t>层级</t>
        </is>
      </c>
      <c r="E4" s="4" t="inlineStr">
        <is>
          <t>X</t>
        </is>
      </c>
      <c r="F4" s="4" t="inlineStr">
        <is>
          <t>Y</t>
        </is>
      </c>
      <c r="G4" s="4" t="inlineStr">
        <is>
          <t>前置_IDs</t>
        </is>
      </c>
      <c r="H4" s="4" t="inlineStr">
        <is>
          <t>最大等级</t>
        </is>
      </c>
      <c r="I4" s="4" t="inlineStr">
        <is>
          <t>货币</t>
        </is>
      </c>
      <c r="J4" s="4" t="inlineStr">
        <is>
          <t>基础成本</t>
        </is>
      </c>
      <c r="K4" s="4" t="inlineStr">
        <is>
          <t>等级成本倍率</t>
        </is>
      </c>
      <c r="L4" s="4" t="inlineStr">
        <is>
          <t>Rank1成本</t>
        </is>
      </c>
      <c r="M4" s="4" t="inlineStr">
        <is>
          <t>Rank2成本</t>
        </is>
      </c>
      <c r="N4" s="4" t="inlineStr">
        <is>
          <t>Rank3成本</t>
        </is>
      </c>
      <c r="O4" s="4" t="inlineStr">
        <is>
          <t>解锁条件</t>
        </is>
      </c>
      <c r="P4" s="4" t="inlineStr">
        <is>
          <t>Effect_Type</t>
        </is>
      </c>
      <c r="Q4" s="4" t="inlineStr">
        <is>
          <t>Target_Kind</t>
        </is>
      </c>
      <c r="R4" s="4" t="inlineStr">
        <is>
          <t>Target_ID</t>
        </is>
      </c>
      <c r="S4" s="4" t="inlineStr">
        <is>
          <t>Operation</t>
        </is>
      </c>
      <c r="T4" s="4" t="inlineStr">
        <is>
          <t>每级数值</t>
        </is>
      </c>
      <c r="U4" s="4" t="inlineStr">
        <is>
          <t>上限</t>
        </is>
      </c>
      <c r="V4" s="4" t="inlineStr">
        <is>
          <t>重置行为</t>
        </is>
      </c>
      <c r="W4" s="4" t="inlineStr">
        <is>
          <t>玩家描述</t>
        </is>
      </c>
      <c r="X4" s="4" t="inlineStr">
        <is>
          <t>估算ΔCPS</t>
        </is>
      </c>
      <c r="Y4" s="4" t="inlineStr">
        <is>
          <t>Rank1回本秒</t>
        </is>
      </c>
      <c r="Z4" s="4" t="inlineStr">
        <is>
          <t>目标回本秒</t>
        </is>
      </c>
      <c r="AA4" s="4" t="inlineStr">
        <is>
          <t>建议基础成本</t>
        </is>
      </c>
      <c r="AB4" s="4" t="inlineStr">
        <is>
          <t>实现说明</t>
        </is>
      </c>
    </row>
    <row r="5" ht="56" customHeight="1">
      <c r="A5" s="11" t="inlineStr">
        <is>
          <t>pickaxe_tempered</t>
        </is>
      </c>
      <c r="B5" s="11" t="inlineStr">
        <is>
          <t>淬火镐头</t>
        </is>
      </c>
      <c r="C5" s="12" t="inlineStr">
        <is>
          <t>镐子</t>
        </is>
      </c>
      <c r="D5" s="11" t="n">
        <v>1</v>
      </c>
      <c r="E5" s="11" t="n">
        <v>0</v>
      </c>
      <c r="F5" s="11" t="n">
        <v>-1</v>
      </c>
      <c r="G5" s="11" t="inlineStr"/>
      <c r="H5" s="13" t="n">
        <v>3</v>
      </c>
      <c r="I5" s="11" t="inlineStr">
        <is>
          <t>金币</t>
        </is>
      </c>
      <c r="J5" s="14" t="n">
        <v>50</v>
      </c>
      <c r="K5" s="13" t="n">
        <v>4</v>
      </c>
      <c r="L5" s="15">
        <f>J5</f>
        <v/>
      </c>
      <c r="M5" s="15">
        <f>IF(H5&gt;=2,ROUND(J5*K5,0),"")</f>
        <v/>
      </c>
      <c r="N5" s="15">
        <f>IF(H5&gt;=3,ROUND(J5*K5^2,0),"")</f>
        <v/>
      </c>
      <c r="O5" s="11" t="inlineStr">
        <is>
          <t>无</t>
        </is>
      </c>
      <c r="P5" s="11" t="inlineStr">
        <is>
          <t>PICK_DAMAGE_FLAT</t>
        </is>
      </c>
      <c r="Q5" s="11" t="inlineStr">
        <is>
          <t>PICKAXE</t>
        </is>
      </c>
      <c r="R5" s="11" t="inlineStr">
        <is>
          <t>manual_pickaxe</t>
        </is>
      </c>
      <c r="S5" s="11" t="inlineStr">
        <is>
          <t>ADD</t>
        </is>
      </c>
      <c r="T5" s="13" t="n">
        <v>5</v>
      </c>
      <c r="U5" s="13" t="n">
        <v>15</v>
      </c>
      <c r="V5" s="11" t="inlineStr">
        <is>
          <t>升华时重置</t>
        </is>
      </c>
      <c r="W5" s="11" t="inlineStr">
        <is>
          <t>每级使手动镐子伤害 +5。</t>
        </is>
      </c>
      <c r="X5" s="16">
        <f>IF(P5="COIN_BONUS",INDEX(Balance!$E$4:$E$9,MIN(6,D5))*T5,IF(P5="MANUAL_REWARD_BONUS",INDEX(Balance!$E$4:$E$9,MIN(6,D5))*Balance!$B$9*T5,IF(P5="GLOBAL_MULTIPLIER",INDEX(Balance!$E$4:$E$9,MIN(6,D5))*(T5-1),"")))</f>
        <v/>
      </c>
      <c r="Y5" s="16">
        <f>IFERROR(L5/X5,"")</f>
        <v/>
      </c>
      <c r="Z5" s="17">
        <f>IF(D5&lt;=2,Balance!$B$10,IF(D5&lt;=4,Balance!$B$11,Balance!$B$12))</f>
        <v/>
      </c>
      <c r="AA5" s="15">
        <f>IF(X5="","",ROUND(X5*Z5,0))</f>
        <v/>
      </c>
      <c r="AB5" s="11" t="inlineStr">
        <is>
          <t>接入 GameManager._mine_at；伤害收益需战斗模拟。</t>
        </is>
      </c>
    </row>
    <row r="6" ht="56" customHeight="1">
      <c r="A6" s="11" t="inlineStr">
        <is>
          <t>pickaxe_sharp</t>
        </is>
      </c>
      <c r="B6" s="11" t="inlineStr">
        <is>
          <t>锐利镐刃</t>
        </is>
      </c>
      <c r="C6" s="12" t="inlineStr">
        <is>
          <t>镐子</t>
        </is>
      </c>
      <c r="D6" s="11" t="n">
        <v>2</v>
      </c>
      <c r="E6" s="11" t="n">
        <v>0</v>
      </c>
      <c r="F6" s="11" t="n">
        <v>-2</v>
      </c>
      <c r="G6" s="11" t="inlineStr">
        <is>
          <t>pickaxe_tempered</t>
        </is>
      </c>
      <c r="H6" s="13" t="n">
        <v>3</v>
      </c>
      <c r="I6" s="11" t="inlineStr">
        <is>
          <t>金币</t>
        </is>
      </c>
      <c r="J6" s="14" t="n">
        <v>250</v>
      </c>
      <c r="K6" s="13" t="n">
        <v>4</v>
      </c>
      <c r="L6" s="15">
        <f>J6</f>
        <v/>
      </c>
      <c r="M6" s="15">
        <f>IF(H6&gt;=2,ROUND(J6*K6,0),"")</f>
        <v/>
      </c>
      <c r="N6" s="15">
        <f>IF(H6&gt;=3,ROUND(J6*K6^2,0),"")</f>
        <v/>
      </c>
      <c r="O6" s="11" t="inlineStr">
        <is>
          <t>淬火镐头至少1级</t>
        </is>
      </c>
      <c r="P6" s="11" t="inlineStr">
        <is>
          <t>PICK_DAMAGE_BONUS</t>
        </is>
      </c>
      <c r="Q6" s="11" t="inlineStr">
        <is>
          <t>PICKAXE</t>
        </is>
      </c>
      <c r="R6" s="11" t="inlineStr">
        <is>
          <t>manual_pickaxe</t>
        </is>
      </c>
      <c r="S6" s="11" t="inlineStr">
        <is>
          <t>ADD_PERCENT</t>
        </is>
      </c>
      <c r="T6" s="18" t="n">
        <v>0.25</v>
      </c>
      <c r="U6" s="18" t="n">
        <v>0.75</v>
      </c>
      <c r="V6" s="11" t="inlineStr">
        <is>
          <t>升华时重置</t>
        </is>
      </c>
      <c r="W6" s="11" t="inlineStr">
        <is>
          <t>每级使手动镐子伤害 +25%。</t>
        </is>
      </c>
      <c r="X6" s="16">
        <f>IF(P6="COIN_BONUS",INDEX(Balance!$E$4:$E$9,MIN(6,D6))*T6,IF(P6="MANUAL_REWARD_BONUS",INDEX(Balance!$E$4:$E$9,MIN(6,D6))*Balance!$B$9*T6,IF(P6="GLOBAL_MULTIPLIER",INDEX(Balance!$E$4:$E$9,MIN(6,D6))*(T6-1),"")))</f>
        <v/>
      </c>
      <c r="Y6" s="16">
        <f>IFERROR(L6/X6,"")</f>
        <v/>
      </c>
      <c r="Z6" s="17">
        <f>IF(D6&lt;=2,Balance!$B$10,IF(D6&lt;=4,Balance!$B$11,Balance!$B$12))</f>
        <v/>
      </c>
      <c r="AA6" s="15">
        <f>IF(X6="","",ROUND(X6*Z6,0))</f>
        <v/>
      </c>
      <c r="AB6" s="11" t="inlineStr">
        <is>
          <t>同类伤害百分比先相加。</t>
        </is>
      </c>
    </row>
    <row r="7" ht="56" customHeight="1">
      <c r="A7" s="11" t="inlineStr">
        <is>
          <t>pickaxe_crit</t>
        </is>
      </c>
      <c r="B7" s="11" t="inlineStr">
        <is>
          <t>幸运重击</t>
        </is>
      </c>
      <c r="C7" s="12" t="inlineStr">
        <is>
          <t>镐子</t>
        </is>
      </c>
      <c r="D7" s="11" t="n">
        <v>3</v>
      </c>
      <c r="E7" s="11" t="n">
        <v>0</v>
      </c>
      <c r="F7" s="11" t="n">
        <v>-3</v>
      </c>
      <c r="G7" s="11" t="inlineStr">
        <is>
          <t>pickaxe_sharp</t>
        </is>
      </c>
      <c r="H7" s="13" t="n">
        <v>2</v>
      </c>
      <c r="I7" s="11" t="inlineStr">
        <is>
          <t>金币</t>
        </is>
      </c>
      <c r="J7" s="14" t="n">
        <v>1000</v>
      </c>
      <c r="K7" s="13" t="n">
        <v>5</v>
      </c>
      <c r="L7" s="15">
        <f>J7</f>
        <v/>
      </c>
      <c r="M7" s="15">
        <f>IF(H7&gt;=2,ROUND(J7*K7,0),"")</f>
        <v/>
      </c>
      <c r="N7" s="15">
        <f>IF(H7&gt;=3,ROUND(J7*K7^2,0),"")</f>
        <v/>
      </c>
      <c r="O7" s="11" t="inlineStr">
        <is>
          <t>锐利镐刃至少1级</t>
        </is>
      </c>
      <c r="P7" s="11" t="inlineStr">
        <is>
          <t>CRIT_CHANCE</t>
        </is>
      </c>
      <c r="Q7" s="11" t="inlineStr">
        <is>
          <t>PICKAXE</t>
        </is>
      </c>
      <c r="R7" s="11" t="inlineStr">
        <is>
          <t>manual_pickaxe</t>
        </is>
      </c>
      <c r="S7" s="11" t="inlineStr">
        <is>
          <t>ADD_PERCENT</t>
        </is>
      </c>
      <c r="T7" s="18" t="n">
        <v>0.1</v>
      </c>
      <c r="U7" s="18" t="n">
        <v>0.2</v>
      </c>
      <c r="V7" s="11" t="inlineStr">
        <is>
          <t>升华时重置</t>
        </is>
      </c>
      <c r="W7" s="11" t="inlineStr">
        <is>
          <t>每级获得 10% 暴击率；暴击基础造成 2 倍伤害。</t>
        </is>
      </c>
      <c r="X7" s="16">
        <f>IF(P7="COIN_BONUS",INDEX(Balance!$E$4:$E$9,MIN(6,D7))*T7,IF(P7="MANUAL_REWARD_BONUS",INDEX(Balance!$E$4:$E$9,MIN(6,D7))*Balance!$B$9*T7,IF(P7="GLOBAL_MULTIPLIER",INDEX(Balance!$E$4:$E$9,MIN(6,D7))*(T7-1),"")))</f>
        <v/>
      </c>
      <c r="Y7" s="16">
        <f>IFERROR(L7/X7,"")</f>
        <v/>
      </c>
      <c r="Z7" s="17">
        <f>IF(D7&lt;=2,Balance!$B$10,IF(D7&lt;=4,Balance!$B$11,Balance!$B$12))</f>
        <v/>
      </c>
      <c r="AA7" s="15">
        <f>IF(X7="","",ROUND(X7*Z7,0))</f>
        <v/>
      </c>
      <c r="AB7" s="11" t="inlineStr">
        <is>
          <t>需新增暴击结算；总暴击率建议上限50%。</t>
        </is>
      </c>
    </row>
    <row r="8" ht="56" customHeight="1">
      <c r="A8" s="11" t="inlineStr">
        <is>
          <t>pickaxe_crit_power</t>
        </is>
      </c>
      <c r="B8" s="11" t="inlineStr">
        <is>
          <t>精准爆破</t>
        </is>
      </c>
      <c r="C8" s="12" t="inlineStr">
        <is>
          <t>镐子</t>
        </is>
      </c>
      <c r="D8" s="11" t="n">
        <v>4</v>
      </c>
      <c r="E8" s="11" t="n">
        <v>-1</v>
      </c>
      <c r="F8" s="11" t="n">
        <v>-4</v>
      </c>
      <c r="G8" s="11" t="inlineStr">
        <is>
          <t>pickaxe_crit</t>
        </is>
      </c>
      <c r="H8" s="13" t="n">
        <v>2</v>
      </c>
      <c r="I8" s="11" t="inlineStr">
        <is>
          <t>金币</t>
        </is>
      </c>
      <c r="J8" s="14" t="n">
        <v>5000</v>
      </c>
      <c r="K8" s="13" t="n">
        <v>5</v>
      </c>
      <c r="L8" s="15">
        <f>J8</f>
        <v/>
      </c>
      <c r="M8" s="15">
        <f>IF(H8&gt;=2,ROUND(J8*K8,0),"")</f>
        <v/>
      </c>
      <c r="N8" s="15">
        <f>IF(H8&gt;=3,ROUND(J8*K8^2,0),"")</f>
        <v/>
      </c>
      <c r="O8" s="11" t="inlineStr">
        <is>
          <t>幸运重击至少1级</t>
        </is>
      </c>
      <c r="P8" s="11" t="inlineStr">
        <is>
          <t>CRIT_MULTIPLIER</t>
        </is>
      </c>
      <c r="Q8" s="11" t="inlineStr">
        <is>
          <t>PICKAXE</t>
        </is>
      </c>
      <c r="R8" s="11" t="inlineStr">
        <is>
          <t>manual_pickaxe</t>
        </is>
      </c>
      <c r="S8" s="11" t="inlineStr">
        <is>
          <t>ADD</t>
        </is>
      </c>
      <c r="T8" s="13" t="n">
        <v>0.5</v>
      </c>
      <c r="U8" s="13" t="n">
        <v>3</v>
      </c>
      <c r="V8" s="11" t="inlineStr">
        <is>
          <t>升华时重置</t>
        </is>
      </c>
      <c r="W8" s="11" t="inlineStr">
        <is>
          <t>每级使暴击倍率 +0.5。</t>
        </is>
      </c>
      <c r="X8" s="16">
        <f>IF(P8="COIN_BONUS",INDEX(Balance!$E$4:$E$9,MIN(6,D8))*T8,IF(P8="MANUAL_REWARD_BONUS",INDEX(Balance!$E$4:$E$9,MIN(6,D8))*Balance!$B$9*T8,IF(P8="GLOBAL_MULTIPLIER",INDEX(Balance!$E$4:$E$9,MIN(6,D8))*(T8-1),"")))</f>
        <v/>
      </c>
      <c r="Y8" s="16">
        <f>IFERROR(L8/X8,"")</f>
        <v/>
      </c>
      <c r="Z8" s="17">
        <f>IF(D8&lt;=2,Balance!$B$10,IF(D8&lt;=4,Balance!$B$11,Balance!$B$12))</f>
        <v/>
      </c>
      <c r="AA8" s="15">
        <f>IF(X8="","",ROUND(X8*Z8,0))</f>
        <v/>
      </c>
      <c r="AB8" s="11" t="inlineStr">
        <is>
          <t>基础暴击倍率2.0；最终建议不超过3.0。</t>
        </is>
      </c>
    </row>
    <row r="9" ht="56" customHeight="1">
      <c r="A9" s="11" t="inlineStr">
        <is>
          <t>pickaxe_double</t>
        </is>
      </c>
      <c r="B9" s="11" t="inlineStr">
        <is>
          <t>双重敲击</t>
        </is>
      </c>
      <c r="C9" s="12" t="inlineStr">
        <is>
          <t>镐子</t>
        </is>
      </c>
      <c r="D9" s="11" t="n">
        <v>4</v>
      </c>
      <c r="E9" s="11" t="n">
        <v>1</v>
      </c>
      <c r="F9" s="11" t="n">
        <v>-4</v>
      </c>
      <c r="G9" s="11" t="inlineStr">
        <is>
          <t>pickaxe_crit</t>
        </is>
      </c>
      <c r="H9" s="13" t="n">
        <v>1</v>
      </c>
      <c r="I9" s="11" t="inlineStr">
        <is>
          <t>金币</t>
        </is>
      </c>
      <c r="J9" s="14" t="n">
        <v>8000</v>
      </c>
      <c r="K9" s="13" t="n">
        <v>1</v>
      </c>
      <c r="L9" s="15">
        <f>J9</f>
        <v/>
      </c>
      <c r="M9" s="15">
        <f>IF(H9&gt;=2,ROUND(J9*K9,0),"")</f>
        <v/>
      </c>
      <c r="N9" s="15">
        <f>IF(H9&gt;=3,ROUND(J9*K9^2,0),"")</f>
        <v/>
      </c>
      <c r="O9" s="11" t="inlineStr">
        <is>
          <t>幸运重击至少1级</t>
        </is>
      </c>
      <c r="P9" s="11" t="inlineStr">
        <is>
          <t>EXTRA_HIT_CHANCE</t>
        </is>
      </c>
      <c r="Q9" s="11" t="inlineStr">
        <is>
          <t>PICKAXE</t>
        </is>
      </c>
      <c r="R9" s="11" t="inlineStr">
        <is>
          <t>manual_pickaxe</t>
        </is>
      </c>
      <c r="S9" s="11" t="inlineStr">
        <is>
          <t>ADD_PERCENT</t>
        </is>
      </c>
      <c r="T9" s="18" t="n">
        <v>0.08</v>
      </c>
      <c r="U9" s="18" t="n">
        <v>0.25</v>
      </c>
      <c r="V9" s="11" t="inlineStr">
        <is>
          <t>升华时重置</t>
        </is>
      </c>
      <c r="W9" s="11" t="inlineStr">
        <is>
          <t>手动攻击有 8% 概率追加一次完整攻击。</t>
        </is>
      </c>
      <c r="X9" s="16">
        <f>IF(P9="COIN_BONUS",INDEX(Balance!$E$4:$E$9,MIN(6,D9))*T9,IF(P9="MANUAL_REWARD_BONUS",INDEX(Balance!$E$4:$E$9,MIN(6,D9))*Balance!$B$9*T9,IF(P9="GLOBAL_MULTIPLIER",INDEX(Balance!$E$4:$E$9,MIN(6,D9))*(T9-1),"")))</f>
        <v/>
      </c>
      <c r="Y9" s="16">
        <f>IFERROR(L9/X9,"")</f>
        <v/>
      </c>
      <c r="Z9" s="17">
        <f>IF(D9&lt;=2,Balance!$B$10,IF(D9&lt;=4,Balance!$B$11,Balance!$B$12))</f>
        <v/>
      </c>
      <c r="AA9" s="15">
        <f>IF(X9="","",ROUND(X9*Z9,0))</f>
        <v/>
      </c>
      <c r="AB9" s="11" t="inlineStr">
        <is>
          <t>需防止追加攻击再次触发自身。</t>
        </is>
      </c>
    </row>
    <row r="10" ht="56" customHeight="1">
      <c r="A10" s="11" t="inlineStr">
        <is>
          <t>pickaxe_overkill</t>
        </is>
      </c>
      <c r="B10" s="11" t="inlineStr">
        <is>
          <t>余震</t>
        </is>
      </c>
      <c r="C10" s="12" t="inlineStr">
        <is>
          <t>镐子</t>
        </is>
      </c>
      <c r="D10" s="11" t="n">
        <v>5</v>
      </c>
      <c r="E10" s="11" t="n">
        <v>-1</v>
      </c>
      <c r="F10" s="11" t="n">
        <v>-5</v>
      </c>
      <c r="G10" s="11" t="inlineStr">
        <is>
          <t>pickaxe_crit_power</t>
        </is>
      </c>
      <c r="H10" s="13" t="n">
        <v>1</v>
      </c>
      <c r="I10" s="11" t="inlineStr">
        <is>
          <t>金币</t>
        </is>
      </c>
      <c r="J10" s="14" t="n">
        <v>25000</v>
      </c>
      <c r="K10" s="13" t="n">
        <v>1</v>
      </c>
      <c r="L10" s="15">
        <f>J10</f>
        <v/>
      </c>
      <c r="M10" s="15">
        <f>IF(H10&gt;=2,ROUND(J10*K10,0),"")</f>
        <v/>
      </c>
      <c r="N10" s="15">
        <f>IF(H10&gt;=3,ROUND(J10*K10^2,0),"")</f>
        <v/>
      </c>
      <c r="O10" s="11" t="inlineStr">
        <is>
          <t>精准爆破至少1级</t>
        </is>
      </c>
      <c r="P10" s="11" t="inlineStr">
        <is>
          <t>OVERKILL_SPLASH</t>
        </is>
      </c>
      <c r="Q10" s="11" t="inlineStr">
        <is>
          <t>PICKAXE</t>
        </is>
      </c>
      <c r="R10" s="11" t="inlineStr">
        <is>
          <t>orthogonal_ore</t>
        </is>
      </c>
      <c r="S10" s="11" t="inlineStr">
        <is>
          <t>SET</t>
        </is>
      </c>
      <c r="T10" s="13" t="n">
        <v>0.5</v>
      </c>
      <c r="U10" s="18" t="n">
        <v>0.5</v>
      </c>
      <c r="V10" s="11" t="inlineStr">
        <is>
          <t>升华时重置</t>
        </is>
      </c>
      <c r="W10" s="11" t="inlineStr">
        <is>
          <t>击破矿物时，50% 溢出伤害传给一个相邻矿物。</t>
        </is>
      </c>
      <c r="X10" s="16">
        <f>IF(P10="COIN_BONUS",INDEX(Balance!$E$4:$E$9,MIN(6,D10))*T10,IF(P10="MANUAL_REWARD_BONUS",INDEX(Balance!$E$4:$E$9,MIN(6,D10))*Balance!$B$9*T10,IF(P10="GLOBAL_MULTIPLIER",INDEX(Balance!$E$4:$E$9,MIN(6,D10))*(T10-1),"")))</f>
        <v/>
      </c>
      <c r="Y10" s="16">
        <f>IFERROR(L10/X10,"")</f>
        <v/>
      </c>
      <c r="Z10" s="17">
        <f>IF(D10&lt;=2,Balance!$B$10,IF(D10&lt;=4,Balance!$B$11,Balance!$B$12))</f>
        <v/>
      </c>
      <c r="AA10" s="15">
        <f>IF(X10="","",ROUND(X10*Z10,0))</f>
        <v/>
      </c>
      <c r="AB10" s="11" t="inlineStr">
        <is>
          <t>需要击杀来源与溢出伤害上下文。</t>
        </is>
      </c>
    </row>
    <row r="11" ht="56" customHeight="1">
      <c r="A11" s="11" t="inlineStr">
        <is>
          <t>pickaxe_shockwave</t>
        </is>
      </c>
      <c r="B11" s="11" t="inlineStr">
        <is>
          <t>冲击波</t>
        </is>
      </c>
      <c r="C11" s="12" t="inlineStr">
        <is>
          <t>镐子</t>
        </is>
      </c>
      <c r="D11" s="11" t="n">
        <v>5</v>
      </c>
      <c r="E11" s="11" t="n">
        <v>1</v>
      </c>
      <c r="F11" s="11" t="n">
        <v>-5</v>
      </c>
      <c r="G11" s="11" t="inlineStr">
        <is>
          <t>pickaxe_double</t>
        </is>
      </c>
      <c r="H11" s="13" t="n">
        <v>1</v>
      </c>
      <c r="I11" s="11" t="inlineStr">
        <is>
          <t>金币</t>
        </is>
      </c>
      <c r="J11" s="14" t="n">
        <v>150000</v>
      </c>
      <c r="K11" s="13" t="n">
        <v>1</v>
      </c>
      <c r="L11" s="15">
        <f>J11</f>
        <v/>
      </c>
      <c r="M11" s="15">
        <f>IF(H11&gt;=2,ROUND(J11*K11,0),"")</f>
        <v/>
      </c>
      <c r="N11" s="15">
        <f>IF(H11&gt;=3,ROUND(J11*K11^2,0),"")</f>
        <v/>
      </c>
      <c r="O11" s="11" t="inlineStr">
        <is>
          <t>双重敲击</t>
        </is>
      </c>
      <c r="P11" s="11" t="inlineStr">
        <is>
          <t>PICK_AOE</t>
        </is>
      </c>
      <c r="Q11" s="11" t="inlineStr">
        <is>
          <t>PICKAXE</t>
        </is>
      </c>
      <c r="R11" s="11" t="inlineStr">
        <is>
          <t>orthogonal_ore</t>
        </is>
      </c>
      <c r="S11" s="11" t="inlineStr">
        <is>
          <t>SET</t>
        </is>
      </c>
      <c r="T11" s="13" t="n">
        <v>0.4</v>
      </c>
      <c r="U11" s="18" t="n">
        <v>0.4</v>
      </c>
      <c r="V11" s="11" t="inlineStr">
        <is>
          <t>升华时重置</t>
        </is>
      </c>
      <c r="W11" s="11" t="inlineStr">
        <is>
          <t>手动攻击时，相邻矿物承受本次伤害的 40%。</t>
        </is>
      </c>
      <c r="X11" s="16">
        <f>IF(P11="COIN_BONUS",INDEX(Balance!$E$4:$E$9,MIN(6,D11))*T11,IF(P11="MANUAL_REWARD_BONUS",INDEX(Balance!$E$4:$E$9,MIN(6,D11))*Balance!$B$9*T11,IF(P11="GLOBAL_MULTIPLIER",INDEX(Balance!$E$4:$E$9,MIN(6,D11))*(T11-1),"")))</f>
        <v/>
      </c>
      <c r="Y11" s="16">
        <f>IFERROR(L11/X11,"")</f>
        <v/>
      </c>
      <c r="Z11" s="17">
        <f>IF(D11&lt;=2,Balance!$B$10,IF(D11&lt;=4,Balance!$B$11,Balance!$B$12))</f>
        <v/>
      </c>
      <c r="AA11" s="15">
        <f>IF(X11="","",ROUND(X11*Z11,0))</f>
        <v/>
      </c>
      <c r="AB11" s="11" t="inlineStr">
        <is>
          <t>需要 AoE 管线；避免与双击递归触发。</t>
        </is>
      </c>
    </row>
    <row r="12" ht="56" customHeight="1">
      <c r="A12" s="11" t="inlineStr">
        <is>
          <t>coin_appraisal</t>
        </is>
      </c>
      <c r="B12" s="11" t="inlineStr">
        <is>
          <t>矿物鉴价</t>
        </is>
      </c>
      <c r="C12" s="19" t="inlineStr">
        <is>
          <t>金币</t>
        </is>
      </c>
      <c r="D12" s="11" t="n">
        <v>1</v>
      </c>
      <c r="E12" s="11" t="n">
        <v>-1</v>
      </c>
      <c r="F12" s="11" t="n">
        <v>0</v>
      </c>
      <c r="G12" s="11" t="inlineStr"/>
      <c r="H12" s="13" t="n">
        <v>3</v>
      </c>
      <c r="I12" s="11" t="inlineStr">
        <is>
          <t>金币</t>
        </is>
      </c>
      <c r="J12" s="14" t="n">
        <v>10</v>
      </c>
      <c r="K12" s="13" t="n">
        <v>5</v>
      </c>
      <c r="L12" s="15">
        <f>J12</f>
        <v/>
      </c>
      <c r="M12" s="15">
        <f>IF(H12&gt;=2,ROUND(J12*K12,0),"")</f>
        <v/>
      </c>
      <c r="N12" s="15">
        <f>IF(H12&gt;=3,ROUND(J12*K12^2,0),"")</f>
        <v/>
      </c>
      <c r="O12" s="11" t="inlineStr">
        <is>
          <t>无</t>
        </is>
      </c>
      <c r="P12" s="11" t="inlineStr">
        <is>
          <t>COIN_BONUS</t>
        </is>
      </c>
      <c r="Q12" s="11" t="inlineStr">
        <is>
          <t>GLOBAL</t>
        </is>
      </c>
      <c r="R12" s="11" t="inlineStr">
        <is>
          <t>all_rewards</t>
        </is>
      </c>
      <c r="S12" s="11" t="inlineStr">
        <is>
          <t>ADD_PERCENT</t>
        </is>
      </c>
      <c r="T12" s="18" t="n">
        <v>0.1</v>
      </c>
      <c r="U12" s="18" t="n">
        <v>0.3</v>
      </c>
      <c r="V12" s="11" t="inlineStr">
        <is>
          <t>升华时重置</t>
        </is>
      </c>
      <c r="W12" s="11" t="inlineStr">
        <is>
          <t>每级使全部金币收益 +10%。</t>
        </is>
      </c>
      <c r="X12" s="16">
        <f>IF(P12="COIN_BONUS",INDEX(Balance!$E$4:$E$9,MIN(6,D12))*T12,IF(P12="MANUAL_REWARD_BONUS",INDEX(Balance!$E$4:$E$9,MIN(6,D12))*Balance!$B$9*T12,IF(P12="GLOBAL_MULTIPLIER",INDEX(Balance!$E$4:$E$9,MIN(6,D12))*(T12-1),"")))</f>
        <v/>
      </c>
      <c r="Y12" s="16">
        <f>IFERROR(L12/X12,"")</f>
        <v/>
      </c>
      <c r="Z12" s="17">
        <f>IF(D12&lt;=2,Balance!$B$10,IF(D12&lt;=4,Balance!$B$11,Balance!$B$12))</f>
        <v/>
      </c>
      <c r="AA12" s="15">
        <f>IF(X12="","",ROUND(X12*Z12,0))</f>
        <v/>
      </c>
      <c r="AB12" s="11" t="inlineStr">
        <is>
          <t>Rank成本10/50/250；按真实增量收益定价，而非攒够时间。</t>
        </is>
      </c>
    </row>
    <row r="13" ht="56" customHeight="1">
      <c r="A13" s="11" t="inlineStr">
        <is>
          <t>coin_handmade</t>
        </is>
      </c>
      <c r="B13" s="11" t="inlineStr">
        <is>
          <t>手工精品</t>
        </is>
      </c>
      <c r="C13" s="19" t="inlineStr">
        <is>
          <t>金币</t>
        </is>
      </c>
      <c r="D13" s="11" t="n">
        <v>2</v>
      </c>
      <c r="E13" s="11" t="n">
        <v>-2</v>
      </c>
      <c r="F13" s="11" t="n">
        <v>0</v>
      </c>
      <c r="G13" s="11" t="inlineStr">
        <is>
          <t>coin_appraisal</t>
        </is>
      </c>
      <c r="H13" s="13" t="n">
        <v>2</v>
      </c>
      <c r="I13" s="11" t="inlineStr">
        <is>
          <t>金币</t>
        </is>
      </c>
      <c r="J13" s="14" t="n">
        <v>25</v>
      </c>
      <c r="K13" s="13" t="n">
        <v>5</v>
      </c>
      <c r="L13" s="15">
        <f>J13</f>
        <v/>
      </c>
      <c r="M13" s="15">
        <f>IF(H13&gt;=2,ROUND(J13*K13,0),"")</f>
        <v/>
      </c>
      <c r="N13" s="15">
        <f>IF(H13&gt;=3,ROUND(J13*K13^2,0),"")</f>
        <v/>
      </c>
      <c r="O13" s="11" t="inlineStr">
        <is>
          <t>矿物鉴价至少1级</t>
        </is>
      </c>
      <c r="P13" s="11" t="inlineStr">
        <is>
          <t>MANUAL_REWARD_BONUS</t>
        </is>
      </c>
      <c r="Q13" s="11" t="inlineStr">
        <is>
          <t>GLOBAL</t>
        </is>
      </c>
      <c r="R13" s="11" t="inlineStr">
        <is>
          <t>manual_kill</t>
        </is>
      </c>
      <c r="S13" s="11" t="inlineStr">
        <is>
          <t>ADD_PERCENT</t>
        </is>
      </c>
      <c r="T13" s="18" t="n">
        <v>0.25</v>
      </c>
      <c r="U13" s="18" t="n">
        <v>0.5</v>
      </c>
      <c r="V13" s="11" t="inlineStr">
        <is>
          <t>升华时重置</t>
        </is>
      </c>
      <c r="W13" s="11" t="inlineStr">
        <is>
          <t>每级使手动击破的矿物收益 +25%。</t>
        </is>
      </c>
      <c r="X13" s="16">
        <f>IF(P13="COIN_BONUS",INDEX(Balance!$E$4:$E$9,MIN(6,D13))*T13,IF(P13="MANUAL_REWARD_BONUS",INDEX(Balance!$E$4:$E$9,MIN(6,D13))*Balance!$B$9*T13,IF(P13="GLOBAL_MULTIPLIER",INDEX(Balance!$E$4:$E$9,MIN(6,D13))*(T13-1),"")))</f>
        <v/>
      </c>
      <c r="Y13" s="16">
        <f>IFERROR(L13/X13,"")</f>
        <v/>
      </c>
      <c r="Z13" s="17">
        <f>IF(D13&lt;=2,Balance!$B$10,IF(D13&lt;=4,Balance!$B$11,Balance!$B$12))</f>
        <v/>
      </c>
      <c r="AA13" s="15">
        <f>IF(X13="","",ROUND(X13*Z13,0))</f>
        <v/>
      </c>
      <c r="AB13" s="11" t="inlineStr">
        <is>
          <t>ore_removed 需携带 cause，区分手挖/火焰/火山/水。</t>
        </is>
      </c>
    </row>
    <row r="14" ht="56" customHeight="1">
      <c r="A14" s="11" t="inlineStr">
        <is>
          <t>coin_streak</t>
        </is>
      </c>
      <c r="B14" s="11" t="inlineStr">
        <is>
          <t>连续开采</t>
        </is>
      </c>
      <c r="C14" s="19" t="inlineStr">
        <is>
          <t>金币</t>
        </is>
      </c>
      <c r="D14" s="11" t="n">
        <v>3</v>
      </c>
      <c r="E14" s="11" t="n">
        <v>-3</v>
      </c>
      <c r="F14" s="11" t="n">
        <v>0</v>
      </c>
      <c r="G14" s="11" t="inlineStr">
        <is>
          <t>coin_handmade</t>
        </is>
      </c>
      <c r="H14" s="13" t="n">
        <v>1</v>
      </c>
      <c r="I14" s="11" t="inlineStr">
        <is>
          <t>金币</t>
        </is>
      </c>
      <c r="J14" s="14" t="n">
        <v>500</v>
      </c>
      <c r="K14" s="13" t="n">
        <v>1</v>
      </c>
      <c r="L14" s="15">
        <f>J14</f>
        <v/>
      </c>
      <c r="M14" s="15">
        <f>IF(H14&gt;=2,ROUND(J14*K14,0),"")</f>
        <v/>
      </c>
      <c r="N14" s="15">
        <f>IF(H14&gt;=3,ROUND(J14*K14^2,0),"")</f>
        <v/>
      </c>
      <c r="O14" s="11" t="inlineStr">
        <is>
          <t>手工精品至少1级</t>
        </is>
      </c>
      <c r="P14" s="11" t="inlineStr">
        <is>
          <t>UNLOCK_STREAK</t>
        </is>
      </c>
      <c r="Q14" s="11" t="inlineStr">
        <is>
          <t>SYSTEM</t>
        </is>
      </c>
      <c r="R14" s="11" t="inlineStr">
        <is>
          <t>mining_streak</t>
        </is>
      </c>
      <c r="S14" s="11" t="inlineStr">
        <is>
          <t>UNLOCK</t>
        </is>
      </c>
      <c r="T14" s="13" t="n">
        <v>0.02</v>
      </c>
      <c r="U14" s="18" t="n">
        <v>0.2</v>
      </c>
      <c r="V14" s="11" t="inlineStr">
        <is>
          <t>升华时重置</t>
        </is>
      </c>
      <c r="W14" s="11" t="inlineStr">
        <is>
          <t>5秒内连续击破，每层金币 +2%，最多10层。</t>
        </is>
      </c>
      <c r="X14" s="16">
        <f>IF(P14="COIN_BONUS",INDEX(Balance!$E$4:$E$9,MIN(6,D14))*T14,IF(P14="MANUAL_REWARD_BONUS",INDEX(Balance!$E$4:$E$9,MIN(6,D14))*Balance!$B$9*T14,IF(P14="GLOBAL_MULTIPLIER",INDEX(Balance!$E$4:$E$9,MIN(6,D14))*(T14-1),"")))</f>
        <v/>
      </c>
      <c r="Y14" s="16">
        <f>IFERROR(L14/X14,"")</f>
        <v/>
      </c>
      <c r="Z14" s="17">
        <f>IF(D14&lt;=2,Balance!$B$10,IF(D14&lt;=4,Balance!$B$11,Balance!$B$12))</f>
        <v/>
      </c>
      <c r="AA14" s="15">
        <f>IF(X14="","",ROUND(X14*Z14,0))</f>
        <v/>
      </c>
      <c r="AB14" s="11" t="inlineStr">
        <is>
          <t>新增 streak 状态；自动击杀是否续连击需明确，V2默认不续。</t>
        </is>
      </c>
    </row>
    <row r="15" ht="56" customHeight="1">
      <c r="A15" s="11" t="inlineStr">
        <is>
          <t>coin_stone_appraiser</t>
        </is>
      </c>
      <c r="B15" s="11" t="inlineStr">
        <is>
          <t>岩层鉴价师</t>
        </is>
      </c>
      <c r="C15" s="19" t="inlineStr">
        <is>
          <t>金币</t>
        </is>
      </c>
      <c r="D15" s="11" t="n">
        <v>4</v>
      </c>
      <c r="E15" s="11" t="n">
        <v>-4</v>
      </c>
      <c r="F15" s="11" t="n">
        <v>-1</v>
      </c>
      <c r="G15" s="11" t="inlineStr">
        <is>
          <t>coin_streak</t>
        </is>
      </c>
      <c r="H15" s="13" t="n">
        <v>1</v>
      </c>
      <c r="I15" s="11" t="inlineStr">
        <is>
          <t>金币</t>
        </is>
      </c>
      <c r="J15" s="14" t="n">
        <v>5000</v>
      </c>
      <c r="K15" s="13" t="n">
        <v>1</v>
      </c>
      <c r="L15" s="15">
        <f>J15</f>
        <v/>
      </c>
      <c r="M15" s="15">
        <f>IF(H15&gt;=2,ROUND(J15*K15,0),"")</f>
        <v/>
      </c>
      <c r="N15" s="15">
        <f>IF(H15&gt;=3,ROUND(J15*K15^2,0),"")</f>
        <v/>
      </c>
      <c r="O15" s="11" t="inlineStr">
        <is>
          <t>连续开采</t>
        </is>
      </c>
      <c r="P15" s="11" t="inlineStr">
        <is>
          <t>TILE_VALUE_MULTIPLIER</t>
        </is>
      </c>
      <c r="Q15" s="11" t="inlineStr">
        <is>
          <t>TILE</t>
        </is>
      </c>
      <c r="R15" s="11" t="inlineStr">
        <is>
          <t>stone</t>
        </is>
      </c>
      <c r="S15" s="11" t="inlineStr">
        <is>
          <t>ADD</t>
        </is>
      </c>
      <c r="T15" s="13" t="n">
        <v>0.3</v>
      </c>
      <c r="U15" s="13" t="n">
        <v>1.8</v>
      </c>
      <c r="V15" s="11" t="inlineStr">
        <is>
          <t>升华时重置</t>
        </is>
      </c>
      <c r="W15" s="11" t="inlineStr">
        <is>
          <t>石头地块的价值倍率从 1.5 提升到 1.8。</t>
        </is>
      </c>
      <c r="X15" s="16">
        <f>IF(P15="COIN_BONUS",INDEX(Balance!$E$4:$E$9,MIN(6,D15))*T15,IF(P15="MANUAL_REWARD_BONUS",INDEX(Balance!$E$4:$E$9,MIN(6,D15))*Balance!$B$9*T15,IF(P15="GLOBAL_MULTIPLIER",INDEX(Balance!$E$4:$E$9,MIN(6,D15))*(T15-1),"")))</f>
        <v/>
      </c>
      <c r="Y15" s="16">
        <f>IFERROR(L15/X15,"")</f>
        <v/>
      </c>
      <c r="Z15" s="17">
        <f>IF(D15&lt;=2,Balance!$B$10,IF(D15&lt;=4,Balance!$B$11,Balance!$B$12))</f>
        <v/>
      </c>
      <c r="AA15" s="15">
        <f>IF(X15="","",ROUND(X15*Z15,0))</f>
        <v/>
      </c>
      <c r="AB15" s="11" t="inlineStr">
        <is>
          <t>通过 ModifierSet 查询，禁止直接修改共享 TileDef。</t>
        </is>
      </c>
    </row>
    <row r="16" ht="56" customHeight="1">
      <c r="A16" s="11" t="inlineStr">
        <is>
          <t>coin_record_fever</t>
        </is>
      </c>
      <c r="B16" s="11" t="inlineStr">
        <is>
          <t>纪录狂热</t>
        </is>
      </c>
      <c r="C16" s="19" t="inlineStr">
        <is>
          <t>金币</t>
        </is>
      </c>
      <c r="D16" s="11" t="n">
        <v>4</v>
      </c>
      <c r="E16" s="11" t="n">
        <v>-4</v>
      </c>
      <c r="F16" s="11" t="n">
        <v>1</v>
      </c>
      <c r="G16" s="11" t="inlineStr">
        <is>
          <t>coin_streak</t>
        </is>
      </c>
      <c r="H16" s="13" t="n">
        <v>1</v>
      </c>
      <c r="I16" s="11" t="inlineStr">
        <is>
          <t>金币</t>
        </is>
      </c>
      <c r="J16" s="14" t="n">
        <v>50000</v>
      </c>
      <c r="K16" s="13" t="n">
        <v>1</v>
      </c>
      <c r="L16" s="15">
        <f>J16</f>
        <v/>
      </c>
      <c r="M16" s="15">
        <f>IF(H16&gt;=2,ROUND(J16*K16,0),"")</f>
        <v/>
      </c>
      <c r="N16" s="15">
        <f>IF(H16&gt;=3,ROUND(J16*K16^2,0),"")</f>
        <v/>
      </c>
      <c r="O16" s="11" t="inlineStr">
        <is>
          <t>连续开采</t>
        </is>
      </c>
      <c r="P16" s="11" t="inlineStr">
        <is>
          <t>UNLOCK_RECORD_BUFF</t>
        </is>
      </c>
      <c r="Q16" s="11" t="inlineStr">
        <is>
          <t>SYSTEM</t>
        </is>
      </c>
      <c r="R16" s="11" t="inlineStr">
        <is>
          <t>rolling_60s_income</t>
        </is>
      </c>
      <c r="S16" s="11" t="inlineStr">
        <is>
          <t>UNLOCK</t>
        </is>
      </c>
      <c r="T16" s="13" t="n">
        <v>2</v>
      </c>
      <c r="U16" s="13" t="n">
        <v>2</v>
      </c>
      <c r="V16" s="11" t="inlineStr">
        <is>
          <t>升华时重置</t>
        </is>
      </c>
      <c r="W16" s="11" t="inlineStr">
        <is>
          <t>最近60秒收益首次超过历史纪录时，金币收益 ×2，持续10秒。</t>
        </is>
      </c>
      <c r="X16" s="16">
        <f>IF(P16="COIN_BONUS",INDEX(Balance!$E$4:$E$9,MIN(6,D16))*T16,IF(P16="MANUAL_REWARD_BONUS",INDEX(Balance!$E$4:$E$9,MIN(6,D16))*Balance!$B$9*T16,IF(P16="GLOBAL_MULTIPLIER",INDEX(Balance!$E$4:$E$9,MIN(6,D16))*(T16-1),"")))</f>
        <v/>
      </c>
      <c r="Y16" s="16">
        <f>IFERROR(L16/X16,"")</f>
        <v/>
      </c>
      <c r="Z16" s="17">
        <f>IF(D16&lt;=2,Balance!$B$10,IF(D16&lt;=4,Balance!$B$11,Balance!$B$12))</f>
        <v/>
      </c>
      <c r="AA16" s="15">
        <f>IF(X16="","",ROUND(X16*Z16,0))</f>
        <v/>
      </c>
      <c r="AB16" s="11" t="inlineStr">
        <is>
          <t>按不含纪录Buff的基础收益比较；至少60秒冷却，仅跨过旧纪录时触发。</t>
        </is>
      </c>
    </row>
    <row r="17" ht="56" customHeight="1">
      <c r="A17" s="11" t="inlineStr">
        <is>
          <t>coin_golden_ratio</t>
        </is>
      </c>
      <c r="B17" s="11" t="inlineStr">
        <is>
          <t>黄金比例</t>
        </is>
      </c>
      <c r="C17" s="19" t="inlineStr">
        <is>
          <t>金币</t>
        </is>
      </c>
      <c r="D17" s="11" t="n">
        <v>5</v>
      </c>
      <c r="E17" s="11" t="n">
        <v>-5</v>
      </c>
      <c r="F17" s="11" t="n">
        <v>0</v>
      </c>
      <c r="G17" s="11" t="inlineStr">
        <is>
          <t>coin_stone_appraiser,coin_record_fever</t>
        </is>
      </c>
      <c r="H17" s="13" t="n">
        <v>1</v>
      </c>
      <c r="I17" s="11" t="inlineStr">
        <is>
          <t>金币</t>
        </is>
      </c>
      <c r="J17" s="14" t="n">
        <v>300000</v>
      </c>
      <c r="K17" s="13" t="n">
        <v>1</v>
      </c>
      <c r="L17" s="15">
        <f>J17</f>
        <v/>
      </c>
      <c r="M17" s="15">
        <f>IF(H17&gt;=2,ROUND(J17*K17,0),"")</f>
        <v/>
      </c>
      <c r="N17" s="15">
        <f>IF(H17&gt;=3,ROUND(J17*K17^2,0),"")</f>
        <v/>
      </c>
      <c r="O17" s="11" t="inlineStr">
        <is>
          <t>同时购买岩层鉴价师和纪录狂热</t>
        </is>
      </c>
      <c r="P17" s="11" t="inlineStr">
        <is>
          <t>GLOBAL_MULTIPLIER</t>
        </is>
      </c>
      <c r="Q17" s="11" t="inlineStr">
        <is>
          <t>GLOBAL</t>
        </is>
      </c>
      <c r="R17" s="11" t="inlineStr">
        <is>
          <t>all_rewards</t>
        </is>
      </c>
      <c r="S17" s="11" t="inlineStr">
        <is>
          <t>MULTIPLY</t>
        </is>
      </c>
      <c r="T17" s="20" t="n">
        <v>2</v>
      </c>
      <c r="U17" s="13" t="n">
        <v>2</v>
      </c>
      <c r="V17" s="11" t="inlineStr">
        <is>
          <t>升华时重置</t>
        </is>
      </c>
      <c r="W17" s="11" t="inlineStr">
        <is>
          <t>里程碑：全部金币收益 ×2。</t>
        </is>
      </c>
      <c r="X17" s="16">
        <f>IF(P17="COIN_BONUS",INDEX(Balance!$E$4:$E$9,MIN(6,D17))*T17,IF(P17="MANUAL_REWARD_BONUS",INDEX(Balance!$E$4:$E$9,MIN(6,D17))*Balance!$B$9*T17,IF(P17="GLOBAL_MULTIPLIER",INDEX(Balance!$E$4:$E$9,MIN(6,D17))*(T17-1),"")))</f>
        <v/>
      </c>
      <c r="Y17" s="16">
        <f>IFERROR(L17/X17,"")</f>
        <v/>
      </c>
      <c r="Z17" s="17">
        <f>IF(D17&lt;=2,Balance!$B$10,IF(D17&lt;=4,Balance!$B$11,Balance!$B$12))</f>
        <v/>
      </c>
      <c r="AA17" s="15">
        <f>IF(X17="","",ROUND(X17*Z17,0))</f>
        <v/>
      </c>
      <c r="AB17" s="11" t="inlineStr">
        <is>
          <t>独立乘区只用于分支终点；购买前CPS约500时回本约10分钟。</t>
        </is>
      </c>
    </row>
    <row r="18" ht="56" customHeight="1">
      <c r="A18" s="11" t="inlineStr">
        <is>
          <t>ore_unlock_gold</t>
        </is>
      </c>
      <c r="B18" s="11" t="inlineStr">
        <is>
          <t>发现黄金</t>
        </is>
      </c>
      <c r="C18" s="21" t="inlineStr">
        <is>
          <t>矿石</t>
        </is>
      </c>
      <c r="D18" s="11" t="n">
        <v>1</v>
      </c>
      <c r="E18" s="11" t="n">
        <v>1</v>
      </c>
      <c r="F18" s="11" t="n">
        <v>0</v>
      </c>
      <c r="G18" s="11" t="inlineStr"/>
      <c r="H18" s="13" t="n">
        <v>1</v>
      </c>
      <c r="I18" s="11" t="inlineStr">
        <is>
          <t>金币</t>
        </is>
      </c>
      <c r="J18" s="14" t="n">
        <v>250</v>
      </c>
      <c r="K18" s="13" t="n">
        <v>1</v>
      </c>
      <c r="L18" s="15">
        <f>J18</f>
        <v/>
      </c>
      <c r="M18" s="15">
        <f>IF(H18&gt;=2,ROUND(J18*K18,0),"")</f>
        <v/>
      </c>
      <c r="N18" s="15">
        <f>IF(H18&gt;=3,ROUND(J18*K18^2,0),"")</f>
        <v/>
      </c>
      <c r="O18" s="11" t="inlineStr">
        <is>
          <t>初始仅 coal / iron / zinc</t>
        </is>
      </c>
      <c r="P18" s="11" t="inlineStr">
        <is>
          <t>UNLOCK_ORE</t>
        </is>
      </c>
      <c r="Q18" s="11" t="inlineStr">
        <is>
          <t>ORE</t>
        </is>
      </c>
      <c r="R18" s="11" t="inlineStr">
        <is>
          <t>gold</t>
        </is>
      </c>
      <c r="S18" s="11" t="inlineStr">
        <is>
          <t>UNLOCK</t>
        </is>
      </c>
      <c r="T18" s="13" t="n">
        <v>1</v>
      </c>
      <c r="U18" s="13" t="n">
        <v>1</v>
      </c>
      <c r="V18" s="11" t="inlineStr">
        <is>
          <t>升华时重置</t>
        </is>
      </c>
      <c r="W18" s="11" t="inlineStr">
        <is>
          <t>允许 gold 加入自然生成矿池。</t>
        </is>
      </c>
      <c r="X18" s="16">
        <f>IF(P18="COIN_BONUS",INDEX(Balance!$E$4:$E$9,MIN(6,D18))*T18,IF(P18="MANUAL_REWARD_BONUS",INDEX(Balance!$E$4:$E$9,MIN(6,D18))*Balance!$B$9*T18,IF(P18="GLOBAL_MULTIPLIER",INDEX(Balance!$E$4:$E$9,MIN(6,D18))*(T18-1),"")))</f>
        <v/>
      </c>
      <c r="Y18" s="16">
        <f>IFERROR(L18/X18,"")</f>
        <v/>
      </c>
      <c r="Z18" s="17">
        <f>IF(D18&lt;=2,Balance!$B$10,IF(D18&lt;=4,Balance!$B$11,Balance!$B$12))</f>
        <v/>
      </c>
      <c r="AA18" s="15">
        <f>IF(X18="","",ROUND(X18*Z18,0))</f>
        <v/>
      </c>
      <c r="AB18" s="11" t="inlineStr">
        <is>
          <t>当前代码开局强制生成 gold，实施解锁时必须同步修改。</t>
        </is>
      </c>
    </row>
    <row r="19" ht="56" customHeight="1">
      <c r="A19" s="11" t="inlineStr">
        <is>
          <t>ore_unlock_crystal</t>
        </is>
      </c>
      <c r="B19" s="11" t="inlineStr">
        <is>
          <t>水晶勘探</t>
        </is>
      </c>
      <c r="C19" s="21" t="inlineStr">
        <is>
          <t>矿石</t>
        </is>
      </c>
      <c r="D19" s="11" t="n">
        <v>2</v>
      </c>
      <c r="E19" s="11" t="n">
        <v>2</v>
      </c>
      <c r="F19" s="11" t="n">
        <v>0</v>
      </c>
      <c r="G19" s="11" t="inlineStr">
        <is>
          <t>ore_unlock_gold</t>
        </is>
      </c>
      <c r="H19" s="13" t="n">
        <v>1</v>
      </c>
      <c r="I19" s="11" t="inlineStr">
        <is>
          <t>金币</t>
        </is>
      </c>
      <c r="J19" s="14" t="n">
        <v>2500</v>
      </c>
      <c r="K19" s="13" t="n">
        <v>1</v>
      </c>
      <c r="L19" s="15">
        <f>J19</f>
        <v/>
      </c>
      <c r="M19" s="15">
        <f>IF(H19&gt;=2,ROUND(J19*K19,0),"")</f>
        <v/>
      </c>
      <c r="N19" s="15">
        <f>IF(H19&gt;=3,ROUND(J19*K19^2,0),"")</f>
        <v/>
      </c>
      <c r="O19" s="11" t="inlineStr">
        <is>
          <t>发现黄金</t>
        </is>
      </c>
      <c r="P19" s="11" t="inlineStr">
        <is>
          <t>UNLOCK_ORE</t>
        </is>
      </c>
      <c r="Q19" s="11" t="inlineStr">
        <is>
          <t>ORE</t>
        </is>
      </c>
      <c r="R19" s="11" t="inlineStr">
        <is>
          <t>crystal</t>
        </is>
      </c>
      <c r="S19" s="11" t="inlineStr">
        <is>
          <t>UNLOCK</t>
        </is>
      </c>
      <c r="T19" s="13" t="n">
        <v>1</v>
      </c>
      <c r="U19" s="13" t="n">
        <v>1</v>
      </c>
      <c r="V19" s="11" t="inlineStr">
        <is>
          <t>升华时重置</t>
        </is>
      </c>
      <c r="W19" s="11" t="inlineStr">
        <is>
          <t>允许 crystal 加入自然生成矿池。</t>
        </is>
      </c>
      <c r="X19" s="16">
        <f>IF(P19="COIN_BONUS",INDEX(Balance!$E$4:$E$9,MIN(6,D19))*T19,IF(P19="MANUAL_REWARD_BONUS",INDEX(Balance!$E$4:$E$9,MIN(6,D19))*Balance!$B$9*T19,IF(P19="GLOBAL_MULTIPLIER",INDEX(Balance!$E$4:$E$9,MIN(6,D19))*(T19-1),"")))</f>
        <v/>
      </c>
      <c r="Y19" s="16">
        <f>IFERROR(L19/X19,"")</f>
        <v/>
      </c>
      <c r="Z19" s="17">
        <f>IF(D19&lt;=2,Balance!$B$10,IF(D19&lt;=4,Balance!$B$11,Balance!$B$12))</f>
        <v/>
      </c>
      <c r="AA19" s="15">
        <f>IF(X19="","",ROUND(X19*Z19,0))</f>
        <v/>
      </c>
      <c r="AB19" s="11" t="inlineStr">
        <is>
          <t>spawn 地块目前固定生成 crystal，必须接受解锁校验。</t>
        </is>
      </c>
    </row>
    <row r="20" ht="56" customHeight="1">
      <c r="A20" s="11" t="inlineStr">
        <is>
          <t>ore_unlock_obsidian</t>
        </is>
      </c>
      <c r="B20" s="11" t="inlineStr">
        <is>
          <t>黑曜层</t>
        </is>
      </c>
      <c r="C20" s="21" t="inlineStr">
        <is>
          <t>矿石</t>
        </is>
      </c>
      <c r="D20" s="11" t="n">
        <v>3</v>
      </c>
      <c r="E20" s="11" t="n">
        <v>3</v>
      </c>
      <c r="F20" s="11" t="n">
        <v>0</v>
      </c>
      <c r="G20" s="11" t="inlineStr">
        <is>
          <t>ore_unlock_crystal</t>
        </is>
      </c>
      <c r="H20" s="13" t="n">
        <v>1</v>
      </c>
      <c r="I20" s="11" t="inlineStr">
        <is>
          <t>金币</t>
        </is>
      </c>
      <c r="J20" s="14" t="n">
        <v>12000</v>
      </c>
      <c r="K20" s="13" t="n">
        <v>1</v>
      </c>
      <c r="L20" s="15">
        <f>J20</f>
        <v/>
      </c>
      <c r="M20" s="15">
        <f>IF(H20&gt;=2,ROUND(J20*K20,0),"")</f>
        <v/>
      </c>
      <c r="N20" s="15">
        <f>IF(H20&gt;=3,ROUND(J20*K20^2,0),"")</f>
        <v/>
      </c>
      <c r="O20" s="11" t="inlineStr">
        <is>
          <t>水晶勘探</t>
        </is>
      </c>
      <c r="P20" s="11" t="inlineStr">
        <is>
          <t>UNLOCK_ORE</t>
        </is>
      </c>
      <c r="Q20" s="11" t="inlineStr">
        <is>
          <t>ORE</t>
        </is>
      </c>
      <c r="R20" s="11" t="inlineStr">
        <is>
          <t>obsidian</t>
        </is>
      </c>
      <c r="S20" s="11" t="inlineStr">
        <is>
          <t>UNLOCK</t>
        </is>
      </c>
      <c r="T20" s="13" t="n">
        <v>1</v>
      </c>
      <c r="U20" s="13" t="n">
        <v>1</v>
      </c>
      <c r="V20" s="11" t="inlineStr">
        <is>
          <t>升华时重置</t>
        </is>
      </c>
      <c r="W20" s="11" t="inlineStr">
        <is>
          <t>允许 obsidian 加入自然生成矿池。</t>
        </is>
      </c>
      <c r="X20" s="16">
        <f>IF(P20="COIN_BONUS",INDEX(Balance!$E$4:$E$9,MIN(6,D20))*T20,IF(P20="MANUAL_REWARD_BONUS",INDEX(Balance!$E$4:$E$9,MIN(6,D20))*Balance!$B$9*T20,IF(P20="GLOBAL_MULTIPLIER",INDEX(Balance!$E$4:$E$9,MIN(6,D20))*(T20-1),"")))</f>
        <v/>
      </c>
      <c r="Y20" s="16">
        <f>IFERROR(L20/X20,"")</f>
        <v/>
      </c>
      <c r="Z20" s="17">
        <f>IF(D20&lt;=2,Balance!$B$10,IF(D20&lt;=4,Balance!$B$11,Balance!$B$12))</f>
        <v/>
      </c>
      <c r="AA20" s="15">
        <f>IF(X20="","",ROUND(X20*Z20,0))</f>
        <v/>
      </c>
      <c r="AB20" s="11" t="inlineStr">
        <is>
          <t>DefDb.roll_ore 增加解锁过滤。</t>
        </is>
      </c>
    </row>
    <row r="21" ht="56" customHeight="1">
      <c r="A21" s="11" t="inlineStr">
        <is>
          <t>ore_unlock_diamond</t>
        </is>
      </c>
      <c r="B21" s="11" t="inlineStr">
        <is>
          <t>钻石钻探</t>
        </is>
      </c>
      <c r="C21" s="21" t="inlineStr">
        <is>
          <t>矿石</t>
        </is>
      </c>
      <c r="D21" s="11" t="n">
        <v>4</v>
      </c>
      <c r="E21" s="11" t="n">
        <v>4</v>
      </c>
      <c r="F21" s="11" t="n">
        <v>0</v>
      </c>
      <c r="G21" s="11" t="inlineStr">
        <is>
          <t>ore_unlock_obsidian</t>
        </is>
      </c>
      <c r="H21" s="13" t="n">
        <v>1</v>
      </c>
      <c r="I21" s="11" t="inlineStr">
        <is>
          <t>金币</t>
        </is>
      </c>
      <c r="J21" s="14" t="n">
        <v>30000</v>
      </c>
      <c r="K21" s="13" t="n">
        <v>1</v>
      </c>
      <c r="L21" s="15">
        <f>J21</f>
        <v/>
      </c>
      <c r="M21" s="15">
        <f>IF(H21&gt;=2,ROUND(J21*K21,0),"")</f>
        <v/>
      </c>
      <c r="N21" s="15">
        <f>IF(H21&gt;=3,ROUND(J21*K21^2,0),"")</f>
        <v/>
      </c>
      <c r="O21" s="11" t="inlineStr">
        <is>
          <t>黑曜层</t>
        </is>
      </c>
      <c r="P21" s="11" t="inlineStr">
        <is>
          <t>UNLOCK_ORE</t>
        </is>
      </c>
      <c r="Q21" s="11" t="inlineStr">
        <is>
          <t>ORE</t>
        </is>
      </c>
      <c r="R21" s="11" t="inlineStr">
        <is>
          <t>diamond</t>
        </is>
      </c>
      <c r="S21" s="11" t="inlineStr">
        <is>
          <t>UNLOCK</t>
        </is>
      </c>
      <c r="T21" s="13" t="n">
        <v>1</v>
      </c>
      <c r="U21" s="13" t="n">
        <v>1</v>
      </c>
      <c r="V21" s="11" t="inlineStr">
        <is>
          <t>升华时重置</t>
        </is>
      </c>
      <c r="W21" s="11" t="inlineStr">
        <is>
          <t>允许 diamond 加入自然生成矿池。</t>
        </is>
      </c>
      <c r="X21" s="16">
        <f>IF(P21="COIN_BONUS",INDEX(Balance!$E$4:$E$9,MIN(6,D21))*T21,IF(P21="MANUAL_REWARD_BONUS",INDEX(Balance!$E$4:$E$9,MIN(6,D21))*Balance!$B$9*T21,IF(P21="GLOBAL_MULTIPLIER",INDEX(Balance!$E$4:$E$9,MIN(6,D21))*(T21-1),"")))</f>
        <v/>
      </c>
      <c r="Y21" s="16">
        <f>IFERROR(L21/X21,"")</f>
        <v/>
      </c>
      <c r="Z21" s="17">
        <f>IF(D21&lt;=2,Balance!$B$10,IF(D21&lt;=4,Balance!$B$11,Balance!$B$12))</f>
        <v/>
      </c>
      <c r="AA21" s="15">
        <f>IF(X21="","",ROUND(X21*Z21,0))</f>
        <v/>
      </c>
      <c r="AB21" s="11" t="inlineStr">
        <is>
          <t>DefDb.roll_ore 增加解锁过滤。</t>
        </is>
      </c>
    </row>
    <row r="22" ht="56" customHeight="1">
      <c r="A22" s="11" t="inlineStr">
        <is>
          <t>ore_unlock_cat</t>
        </is>
      </c>
      <c r="B22" s="11" t="inlineStr">
        <is>
          <t>猫矿传说</t>
        </is>
      </c>
      <c r="C22" s="21" t="inlineStr">
        <is>
          <t>矿石</t>
        </is>
      </c>
      <c r="D22" s="11" t="n">
        <v>5</v>
      </c>
      <c r="E22" s="11" t="n">
        <v>5</v>
      </c>
      <c r="F22" s="11" t="n">
        <v>0</v>
      </c>
      <c r="G22" s="11" t="inlineStr">
        <is>
          <t>ore_unlock_diamond</t>
        </is>
      </c>
      <c r="H22" s="13" t="n">
        <v>1</v>
      </c>
      <c r="I22" s="11" t="inlineStr">
        <is>
          <t>金币</t>
        </is>
      </c>
      <c r="J22" s="14" t="n">
        <v>250000</v>
      </c>
      <c r="K22" s="13" t="n">
        <v>1</v>
      </c>
      <c r="L22" s="15">
        <f>J22</f>
        <v/>
      </c>
      <c r="M22" s="15">
        <f>IF(H22&gt;=2,ROUND(J22*K22,0),"")</f>
        <v/>
      </c>
      <c r="N22" s="15">
        <f>IF(H22&gt;=3,ROUND(J22*K22^2,0),"")</f>
        <v/>
      </c>
      <c r="O22" s="11" t="inlineStr">
        <is>
          <t>钻石钻探</t>
        </is>
      </c>
      <c r="P22" s="11" t="inlineStr">
        <is>
          <t>UNLOCK_ORE</t>
        </is>
      </c>
      <c r="Q22" s="11" t="inlineStr">
        <is>
          <t>ORE</t>
        </is>
      </c>
      <c r="R22" s="11" t="inlineStr">
        <is>
          <t>cat</t>
        </is>
      </c>
      <c r="S22" s="11" t="inlineStr">
        <is>
          <t>UNLOCK</t>
        </is>
      </c>
      <c r="T22" s="13" t="n">
        <v>1</v>
      </c>
      <c r="U22" s="13" t="n">
        <v>1</v>
      </c>
      <c r="V22" s="11" t="inlineStr">
        <is>
          <t>升华时重置</t>
        </is>
      </c>
      <c r="W22" s="11" t="inlineStr">
        <is>
          <t>允许极稀有的 cat 加入自然生成矿池。</t>
        </is>
      </c>
      <c r="X22" s="16">
        <f>IF(P22="COIN_BONUS",INDEX(Balance!$E$4:$E$9,MIN(6,D22))*T22,IF(P22="MANUAL_REWARD_BONUS",INDEX(Balance!$E$4:$E$9,MIN(6,D22))*Balance!$B$9*T22,IF(P22="GLOBAL_MULTIPLIER",INDEX(Balance!$E$4:$E$9,MIN(6,D22))*(T22-1),"")))</f>
        <v/>
      </c>
      <c r="Y22" s="16">
        <f>IFERROR(L22/X22,"")</f>
        <v/>
      </c>
      <c r="Z22" s="17">
        <f>IF(D22&lt;=2,Balance!$B$10,IF(D22&lt;=4,Balance!$B$11,Balance!$B$12))</f>
        <v/>
      </c>
      <c r="AA22" s="15">
        <f>IF(X22="","",ROUND(X22*Z22,0))</f>
        <v/>
      </c>
      <c r="AB22" s="11" t="inlineStr">
        <is>
          <t>保持低权重；猫矿是内容奖励而非稳定经济来源。</t>
        </is>
      </c>
    </row>
    <row r="23" ht="56" customHeight="1">
      <c r="A23" s="11" t="inlineStr">
        <is>
          <t>ore_large_vein</t>
        </is>
      </c>
      <c r="B23" s="11" t="inlineStr">
        <is>
          <t>大型矿脉</t>
        </is>
      </c>
      <c r="C23" s="21" t="inlineStr">
        <is>
          <t>矿石</t>
        </is>
      </c>
      <c r="D23" s="11" t="n">
        <v>3</v>
      </c>
      <c r="E23" s="11" t="n">
        <v>3</v>
      </c>
      <c r="F23" s="11" t="n">
        <v>-1</v>
      </c>
      <c r="G23" s="11" t="inlineStr">
        <is>
          <t>ore_unlock_crystal</t>
        </is>
      </c>
      <c r="H23" s="13" t="n">
        <v>1</v>
      </c>
      <c r="I23" s="11" t="inlineStr">
        <is>
          <t>金币</t>
        </is>
      </c>
      <c r="J23" s="14" t="n">
        <v>5000</v>
      </c>
      <c r="K23" s="13" t="n">
        <v>1</v>
      </c>
      <c r="L23" s="15">
        <f>J23</f>
        <v/>
      </c>
      <c r="M23" s="15">
        <f>IF(H23&gt;=2,ROUND(J23*K23,0),"")</f>
        <v/>
      </c>
      <c r="N23" s="15">
        <f>IF(H23&gt;=3,ROUND(J23*K23^2,0),"")</f>
        <v/>
      </c>
      <c r="O23" s="11" t="inlineStr">
        <is>
          <t>水晶勘探</t>
        </is>
      </c>
      <c r="P23" s="11" t="inlineStr">
        <is>
          <t>NATURAL_LEVEL_CHANCE</t>
        </is>
      </c>
      <c r="Q23" s="11" t="inlineStr">
        <is>
          <t>ORE</t>
        </is>
      </c>
      <c r="R23" s="11" t="inlineStr">
        <is>
          <t>level_2</t>
        </is>
      </c>
      <c r="S23" s="11" t="inlineStr">
        <is>
          <t>SET</t>
        </is>
      </c>
      <c r="T23" s="13" t="n">
        <v>0.05</v>
      </c>
      <c r="U23" s="18" t="n">
        <v>0.2</v>
      </c>
      <c r="V23" s="11" t="inlineStr">
        <is>
          <t>升华时重置</t>
        </is>
      </c>
      <c r="W23" s="11" t="inlineStr">
        <is>
          <t>自然生成矿物有 5% 概率为 Lv2（价值×2，HP×1.5）。</t>
        </is>
      </c>
      <c r="X23" s="16">
        <f>IF(P23="COIN_BONUS",INDEX(Balance!$E$4:$E$9,MIN(6,D23))*T23,IF(P23="MANUAL_REWARD_BONUS",INDEX(Balance!$E$4:$E$9,MIN(6,D23))*Balance!$B$9*T23,IF(P23="GLOBAL_MULTIPLIER",INDEX(Balance!$E$4:$E$9,MIN(6,D23))*(T23-1),"")))</f>
        <v/>
      </c>
      <c r="Y23" s="16">
        <f>IFERROR(L23/X23,"")</f>
        <v/>
      </c>
      <c r="Z23" s="17">
        <f>IF(D23&lt;=2,Balance!$B$10,IF(D23&lt;=4,Balance!$B$11,Balance!$B$12))</f>
        <v/>
      </c>
      <c r="AA23" s="15">
        <f>IF(X23="","",ROUND(X23*Z23,0))</f>
        <v/>
      </c>
      <c r="AB23" s="11" t="inlineStr">
        <is>
          <t>自然等级抽取必须独立于 upgrade 地块。</t>
        </is>
      </c>
    </row>
    <row r="24" ht="56" customHeight="1">
      <c r="A24" s="11" t="inlineStr">
        <is>
          <t>ore_giant_vein</t>
        </is>
      </c>
      <c r="B24" s="11" t="inlineStr">
        <is>
          <t>巨型矿脉</t>
        </is>
      </c>
      <c r="C24" s="21" t="inlineStr">
        <is>
          <t>矿石</t>
        </is>
      </c>
      <c r="D24" s="11" t="n">
        <v>4</v>
      </c>
      <c r="E24" s="11" t="n">
        <v>4</v>
      </c>
      <c r="F24" s="11" t="n">
        <v>-1</v>
      </c>
      <c r="G24" s="11" t="inlineStr">
        <is>
          <t>ore_large_vein</t>
        </is>
      </c>
      <c r="H24" s="13" t="n">
        <v>1</v>
      </c>
      <c r="I24" s="11" t="inlineStr">
        <is>
          <t>金币</t>
        </is>
      </c>
      <c r="J24" s="14" t="n">
        <v>50000</v>
      </c>
      <c r="K24" s="13" t="n">
        <v>1</v>
      </c>
      <c r="L24" s="15">
        <f>J24</f>
        <v/>
      </c>
      <c r="M24" s="15">
        <f>IF(H24&gt;=2,ROUND(J24*K24,0),"")</f>
        <v/>
      </c>
      <c r="N24" s="15">
        <f>IF(H24&gt;=3,ROUND(J24*K24^2,0),"")</f>
        <v/>
      </c>
      <c r="O24" s="11" t="inlineStr">
        <is>
          <t>大型矿脉</t>
        </is>
      </c>
      <c r="P24" s="11" t="inlineStr">
        <is>
          <t>NATURAL_LEVEL_CHANCE</t>
        </is>
      </c>
      <c r="Q24" s="11" t="inlineStr">
        <is>
          <t>ORE</t>
        </is>
      </c>
      <c r="R24" s="11" t="inlineStr">
        <is>
          <t>level_3</t>
        </is>
      </c>
      <c r="S24" s="11" t="inlineStr">
        <is>
          <t>SET</t>
        </is>
      </c>
      <c r="T24" s="13" t="n">
        <v>0.05</v>
      </c>
      <c r="U24" s="18" t="n">
        <v>0.1</v>
      </c>
      <c r="V24" s="11" t="inlineStr">
        <is>
          <t>升华时重置</t>
        </is>
      </c>
      <c r="W24" s="11" t="inlineStr">
        <is>
          <t>自然生成矿物有 5% 概率为 Lv3（价值×4，HP×2.25）。</t>
        </is>
      </c>
      <c r="X24" s="16">
        <f>IF(P24="COIN_BONUS",INDEX(Balance!$E$4:$E$9,MIN(6,D24))*T24,IF(P24="MANUAL_REWARD_BONUS",INDEX(Balance!$E$4:$E$9,MIN(6,D24))*Balance!$B$9*T24,IF(P24="GLOBAL_MULTIPLIER",INDEX(Balance!$E$4:$E$9,MIN(6,D24))*(T24-1),"")))</f>
        <v/>
      </c>
      <c r="Y24" s="16">
        <f>IFERROR(L24/X24,"")</f>
        <v/>
      </c>
      <c r="Z24" s="17">
        <f>IF(D24&lt;=2,Balance!$B$10,IF(D24&lt;=4,Balance!$B$11,Balance!$B$12))</f>
        <v/>
      </c>
      <c r="AA24" s="15">
        <f>IF(X24="","",ROUND(X24*Z24,0))</f>
        <v/>
      </c>
      <c r="AB24" s="11" t="inlineStr">
        <is>
          <t>1%在当前成本下过弱；先判定Lv3，再判定Lv2，概率不要重叠。</t>
        </is>
      </c>
    </row>
    <row r="25" ht="56" customHeight="1">
      <c r="A25" s="11" t="inlineStr">
        <is>
          <t>ore_rare_focus</t>
        </is>
      </c>
      <c r="B25" s="11" t="inlineStr">
        <is>
          <t>稀有聚焦</t>
        </is>
      </c>
      <c r="C25" s="21" t="inlineStr">
        <is>
          <t>矿石</t>
        </is>
      </c>
      <c r="D25" s="11" t="n">
        <v>5</v>
      </c>
      <c r="E25" s="11" t="n">
        <v>5</v>
      </c>
      <c r="F25" s="11" t="n">
        <v>-1</v>
      </c>
      <c r="G25" s="11" t="inlineStr">
        <is>
          <t>ore_unlock_diamond,ore_giant_vein</t>
        </is>
      </c>
      <c r="H25" s="13" t="n">
        <v>1</v>
      </c>
      <c r="I25" s="11" t="inlineStr">
        <is>
          <t>金币</t>
        </is>
      </c>
      <c r="J25" s="14" t="n">
        <v>75000</v>
      </c>
      <c r="K25" s="13" t="n">
        <v>1</v>
      </c>
      <c r="L25" s="15">
        <f>J25</f>
        <v/>
      </c>
      <c r="M25" s="15">
        <f>IF(H25&gt;=2,ROUND(J25*K25,0),"")</f>
        <v/>
      </c>
      <c r="N25" s="15">
        <f>IF(H25&gt;=3,ROUND(J25*K25^2,0),"")</f>
        <v/>
      </c>
      <c r="O25" s="11" t="inlineStr">
        <is>
          <t>钻石钻探与巨型矿脉</t>
        </is>
      </c>
      <c r="P25" s="11" t="inlineStr">
        <is>
          <t>ORE_WEIGHT_BONUS</t>
        </is>
      </c>
      <c r="Q25" s="11" t="inlineStr">
        <is>
          <t>ORE</t>
        </is>
      </c>
      <c r="R25" s="11" t="inlineStr">
        <is>
          <t>rarity_3_plus</t>
        </is>
      </c>
      <c r="S25" s="11" t="inlineStr">
        <is>
          <t>ADD_PERCENT</t>
        </is>
      </c>
      <c r="T25" s="18" t="n">
        <v>0.25</v>
      </c>
      <c r="U25" s="18" t="n">
        <v>1</v>
      </c>
      <c r="V25" s="11" t="inlineStr">
        <is>
          <t>升华时重置</t>
        </is>
      </c>
      <c r="W25" s="11" t="inlineStr">
        <is>
          <t>稀有度3以上矿物的自然生成权重 +25%。</t>
        </is>
      </c>
      <c r="X25" s="16">
        <f>IF(P25="COIN_BONUS",INDEX(Balance!$E$4:$E$9,MIN(6,D25))*T25,IF(P25="MANUAL_REWARD_BONUS",INDEX(Balance!$E$4:$E$9,MIN(6,D25))*Balance!$B$9*T25,IF(P25="GLOBAL_MULTIPLIER",INDEX(Balance!$E$4:$E$9,MIN(6,D25))*(T25-1),"")))</f>
        <v/>
      </c>
      <c r="Y25" s="16">
        <f>IFERROR(L25/X25,"")</f>
        <v/>
      </c>
      <c r="Z25" s="17">
        <f>IF(D25&lt;=2,Balance!$B$10,IF(D25&lt;=4,Balance!$B$11,Balance!$B$12))</f>
        <v/>
      </c>
      <c r="AA25" s="15">
        <f>IF(X25="","",ROUND(X25*Z25,0))</f>
        <v/>
      </c>
      <c r="AB25" s="11" t="inlineStr">
        <is>
          <t>先过滤已解锁矿，再调整权重；建议总加成上限100%。</t>
        </is>
      </c>
    </row>
    <row r="26" ht="56" customHeight="1">
      <c r="A26" s="11" t="inlineStr">
        <is>
          <t>tile_unlock_stone</t>
        </is>
      </c>
      <c r="B26" s="11" t="inlineStr">
        <is>
          <t>石质工程</t>
        </is>
      </c>
      <c r="C26" s="22" t="inlineStr">
        <is>
          <t>地块</t>
        </is>
      </c>
      <c r="D26" s="11" t="n">
        <v>1</v>
      </c>
      <c r="E26" s="11" t="n">
        <v>0</v>
      </c>
      <c r="F26" s="11" t="n">
        <v>1</v>
      </c>
      <c r="G26" s="11" t="inlineStr"/>
      <c r="H26" s="13" t="n">
        <v>1</v>
      </c>
      <c r="I26" s="11" t="inlineStr">
        <is>
          <t>金币</t>
        </is>
      </c>
      <c r="J26" s="14" t="n">
        <v>300</v>
      </c>
      <c r="K26" s="13" t="n">
        <v>1</v>
      </c>
      <c r="L26" s="15">
        <f>J26</f>
        <v/>
      </c>
      <c r="M26" s="15">
        <f>IF(H26&gt;=2,ROUND(J26*K26,0),"")</f>
        <v/>
      </c>
      <c r="N26" s="15">
        <f>IF(H26&gt;=3,ROUND(J26*K26^2,0),"")</f>
        <v/>
      </c>
      <c r="O26" s="11" t="inlineStr">
        <is>
          <t>初始仅 dirt / grass</t>
        </is>
      </c>
      <c r="P26" s="11" t="inlineStr">
        <is>
          <t>UNLOCK_TILE</t>
        </is>
      </c>
      <c r="Q26" s="11" t="inlineStr">
        <is>
          <t>TILE</t>
        </is>
      </c>
      <c r="R26" s="11" t="inlineStr">
        <is>
          <t>stone</t>
        </is>
      </c>
      <c r="S26" s="11" t="inlineStr">
        <is>
          <t>UNLOCK</t>
        </is>
      </c>
      <c r="T26" s="13" t="n">
        <v>1</v>
      </c>
      <c r="U26" s="13" t="n">
        <v>1</v>
      </c>
      <c r="V26" s="11" t="inlineStr">
        <is>
          <t>升华时重置</t>
        </is>
      </c>
      <c r="W26" s="11" t="inlineStr">
        <is>
          <t>解锁 stone 地块；基础价值倍率 1.5。</t>
        </is>
      </c>
      <c r="X26" s="16">
        <f>IF(P26="COIN_BONUS",INDEX(Balance!$E$4:$E$9,MIN(6,D26))*T26,IF(P26="MANUAL_REWARD_BONUS",INDEX(Balance!$E$4:$E$9,MIN(6,D26))*Balance!$B$9*T26,IF(P26="GLOBAL_MULTIPLIER",INDEX(Balance!$E$4:$E$9,MIN(6,D26))*(T26-1),"")))</f>
        <v/>
      </c>
      <c r="Y26" s="16">
        <f>IFERROR(L26/X26,"")</f>
        <v/>
      </c>
      <c r="Z26" s="17">
        <f>IF(D26&lt;=2,Balance!$B$10,IF(D26&lt;=4,Balance!$B$11,Balance!$B$12))</f>
        <v/>
      </c>
      <c r="AA26" s="15">
        <f>IF(X26="","",ROUND(X26*Z26,0))</f>
        <v/>
      </c>
      <c r="AB26" s="11" t="inlineStr">
        <is>
          <t>TileDrawer显示与放置入口都必须校验解锁。</t>
        </is>
      </c>
    </row>
    <row r="27" ht="56" customHeight="1">
      <c r="A27" s="11" t="inlineStr">
        <is>
          <t>tile_unlock_water</t>
        </is>
      </c>
      <c r="B27" s="11" t="inlineStr">
        <is>
          <t>水域工程</t>
        </is>
      </c>
      <c r="C27" s="22" t="inlineStr">
        <is>
          <t>地块</t>
        </is>
      </c>
      <c r="D27" s="11" t="n">
        <v>2</v>
      </c>
      <c r="E27" s="11" t="n">
        <v>-1</v>
      </c>
      <c r="F27" s="11" t="n">
        <v>2</v>
      </c>
      <c r="G27" s="11" t="inlineStr">
        <is>
          <t>tile_unlock_stone</t>
        </is>
      </c>
      <c r="H27" s="13" t="n">
        <v>1</v>
      </c>
      <c r="I27" s="11" t="inlineStr">
        <is>
          <t>金币</t>
        </is>
      </c>
      <c r="J27" s="14" t="n">
        <v>500</v>
      </c>
      <c r="K27" s="13" t="n">
        <v>1</v>
      </c>
      <c r="L27" s="15">
        <f>J27</f>
        <v/>
      </c>
      <c r="M27" s="15">
        <f>IF(H27&gt;=2,ROUND(J27*K27,0),"")</f>
        <v/>
      </c>
      <c r="N27" s="15">
        <f>IF(H27&gt;=3,ROUND(J27*K27^2,0),"")</f>
        <v/>
      </c>
      <c r="O27" s="11" t="inlineStr">
        <is>
          <t>石质工程</t>
        </is>
      </c>
      <c r="P27" s="11" t="inlineStr">
        <is>
          <t>UNLOCK_TILE</t>
        </is>
      </c>
      <c r="Q27" s="11" t="inlineStr">
        <is>
          <t>TILE</t>
        </is>
      </c>
      <c r="R27" s="11" t="inlineStr">
        <is>
          <t>water</t>
        </is>
      </c>
      <c r="S27" s="11" t="inlineStr">
        <is>
          <t>UNLOCK</t>
        </is>
      </c>
      <c r="T27" s="13" t="n">
        <v>1</v>
      </c>
      <c r="U27" s="13" t="n">
        <v>1</v>
      </c>
      <c r="V27" s="11" t="inlineStr">
        <is>
          <t>升华时重置</t>
        </is>
      </c>
      <c r="W27" s="11" t="inlineStr">
        <is>
          <t>解锁 water 地块；沉没矿物返还10%价值。</t>
        </is>
      </c>
      <c r="X27" s="16">
        <f>IF(P27="COIN_BONUS",INDEX(Balance!$E$4:$E$9,MIN(6,D27))*T27,IF(P27="MANUAL_REWARD_BONUS",INDEX(Balance!$E$4:$E$9,MIN(6,D27))*Balance!$B$9*T27,IF(P27="GLOBAL_MULTIPLIER",INDEX(Balance!$E$4:$E$9,MIN(6,D27))*(T27-1),"")))</f>
        <v/>
      </c>
      <c r="Y27" s="16">
        <f>IFERROR(L27/X27,"")</f>
        <v/>
      </c>
      <c r="Z27" s="17">
        <f>IF(D27&lt;=2,Balance!$B$10,IF(D27&lt;=4,Balance!$B$11,Balance!$B$12))</f>
        <v/>
      </c>
      <c r="AA27" s="15">
        <f>IF(X27="","",ROUND(X27*Z27,0))</f>
        <v/>
      </c>
      <c r="AB27" s="11" t="inlineStr">
        <is>
          <t>返还率0.1目前硬编码，应移入可修改参数。</t>
        </is>
      </c>
    </row>
    <row r="28" ht="56" customHeight="1">
      <c r="A28" s="11" t="inlineStr">
        <is>
          <t>tile_unlock_fire</t>
        </is>
      </c>
      <c r="B28" s="11" t="inlineStr">
        <is>
          <t>熔岩工程</t>
        </is>
      </c>
      <c r="C28" s="22" t="inlineStr">
        <is>
          <t>地块</t>
        </is>
      </c>
      <c r="D28" s="11" t="n">
        <v>2</v>
      </c>
      <c r="E28" s="11" t="n">
        <v>1</v>
      </c>
      <c r="F28" s="11" t="n">
        <v>2</v>
      </c>
      <c r="G28" s="11" t="inlineStr">
        <is>
          <t>tile_unlock_stone</t>
        </is>
      </c>
      <c r="H28" s="13" t="n">
        <v>1</v>
      </c>
      <c r="I28" s="11" t="inlineStr">
        <is>
          <t>金币</t>
        </is>
      </c>
      <c r="J28" s="14" t="n">
        <v>2000</v>
      </c>
      <c r="K28" s="13" t="n">
        <v>1</v>
      </c>
      <c r="L28" s="15">
        <f>J28</f>
        <v/>
      </c>
      <c r="M28" s="15">
        <f>IF(H28&gt;=2,ROUND(J28*K28,0),"")</f>
        <v/>
      </c>
      <c r="N28" s="15">
        <f>IF(H28&gt;=3,ROUND(J28*K28^2,0),"")</f>
        <v/>
      </c>
      <c r="O28" s="11" t="inlineStr">
        <is>
          <t>石质工程</t>
        </is>
      </c>
      <c r="P28" s="11" t="inlineStr">
        <is>
          <t>UNLOCK_TILE</t>
        </is>
      </c>
      <c r="Q28" s="11" t="inlineStr">
        <is>
          <t>TILE</t>
        </is>
      </c>
      <c r="R28" s="11" t="inlineStr">
        <is>
          <t>fire</t>
        </is>
      </c>
      <c r="S28" s="11" t="inlineStr">
        <is>
          <t>UNLOCK</t>
        </is>
      </c>
      <c r="T28" s="13" t="n">
        <v>1</v>
      </c>
      <c r="U28" s="13" t="n">
        <v>1</v>
      </c>
      <c r="V28" s="11" t="inlineStr">
        <is>
          <t>升华时重置</t>
        </is>
      </c>
      <c r="W28" s="11" t="inlineStr">
        <is>
          <t>解锁 fire 地块；每1秒对同格矿物造成10伤害。</t>
        </is>
      </c>
      <c r="X28" s="16">
        <f>IF(P28="COIN_BONUS",INDEX(Balance!$E$4:$E$9,MIN(6,D28))*T28,IF(P28="MANUAL_REWARD_BONUS",INDEX(Balance!$E$4:$E$9,MIN(6,D28))*Balance!$B$9*T28,IF(P28="GLOBAL_MULTIPLIER",INDEX(Balance!$E$4:$E$9,MIN(6,D28))*(T28-1),"")))</f>
        <v/>
      </c>
      <c r="Y28" s="16">
        <f>IFERROR(L28/X28,"")</f>
        <v/>
      </c>
      <c r="Z28" s="17">
        <f>IF(D28&lt;=2,Balance!$B$10,IF(D28&lt;=4,Balance!$B$11,Balance!$B$12))</f>
        <v/>
      </c>
      <c r="AA28" s="15">
        <f>IF(X28="","",ROUND(X28*Z28,0))</f>
        <v/>
      </c>
      <c r="AB28" s="11" t="inlineStr">
        <is>
          <t>自动击杀原因标记为 fire。</t>
        </is>
      </c>
    </row>
    <row r="29" ht="56" customHeight="1">
      <c r="A29" s="11" t="inlineStr">
        <is>
          <t>tile_unlock_pull</t>
        </is>
      </c>
      <c r="B29" s="11" t="inlineStr">
        <is>
          <t>磁吸工程</t>
        </is>
      </c>
      <c r="C29" s="22" t="inlineStr">
        <is>
          <t>地块</t>
        </is>
      </c>
      <c r="D29" s="11" t="n">
        <v>3</v>
      </c>
      <c r="E29" s="11" t="n">
        <v>-2</v>
      </c>
      <c r="F29" s="11" t="n">
        <v>3</v>
      </c>
      <c r="G29" s="11" t="inlineStr">
        <is>
          <t>tile_unlock_water</t>
        </is>
      </c>
      <c r="H29" s="13" t="n">
        <v>1</v>
      </c>
      <c r="I29" s="11" t="inlineStr">
        <is>
          <t>金币</t>
        </is>
      </c>
      <c r="J29" s="14" t="n">
        <v>5000</v>
      </c>
      <c r="K29" s="13" t="n">
        <v>1</v>
      </c>
      <c r="L29" s="15">
        <f>J29</f>
        <v/>
      </c>
      <c r="M29" s="15">
        <f>IF(H29&gt;=2,ROUND(J29*K29,0),"")</f>
        <v/>
      </c>
      <c r="N29" s="15">
        <f>IF(H29&gt;=3,ROUND(J29*K29^2,0),"")</f>
        <v/>
      </c>
      <c r="O29" s="11" t="inlineStr">
        <is>
          <t>水域工程</t>
        </is>
      </c>
      <c r="P29" s="11" t="inlineStr">
        <is>
          <t>UNLOCK_TILE</t>
        </is>
      </c>
      <c r="Q29" s="11" t="inlineStr">
        <is>
          <t>TILE</t>
        </is>
      </c>
      <c r="R29" s="11" t="inlineStr">
        <is>
          <t>pull</t>
        </is>
      </c>
      <c r="S29" s="11" t="inlineStr">
        <is>
          <t>UNLOCK</t>
        </is>
      </c>
      <c r="T29" s="13" t="n">
        <v>1</v>
      </c>
      <c r="U29" s="13" t="n">
        <v>1</v>
      </c>
      <c r="V29" s="11" t="inlineStr">
        <is>
          <t>升华时重置</t>
        </is>
      </c>
      <c r="W29" s="11" t="inlineStr">
        <is>
          <t>解锁 pull 地块；每2秒吸取一个正交邻格矿物。</t>
        </is>
      </c>
      <c r="X29" s="16">
        <f>IF(P29="COIN_BONUS",INDEX(Balance!$E$4:$E$9,MIN(6,D29))*T29,IF(P29="MANUAL_REWARD_BONUS",INDEX(Balance!$E$4:$E$9,MIN(6,D29))*Balance!$B$9*T29,IF(P29="GLOBAL_MULTIPLIER",INDEX(Balance!$E$4:$E$9,MIN(6,D29))*(T29-1),"")))</f>
        <v/>
      </c>
      <c r="Y29" s="16">
        <f>IFERROR(L29/X29,"")</f>
        <v/>
      </c>
      <c r="Z29" s="17">
        <f>IF(D29&lt;=2,Balance!$B$10,IF(D29&lt;=4,Balance!$B$11,Balance!$B$12))</f>
        <v/>
      </c>
      <c r="AA29" s="15">
        <f>IF(X29="","",ROUND(X29*Z29,0))</f>
        <v/>
      </c>
      <c r="AB29" s="11" t="inlineStr">
        <is>
          <t>目标选择保持随机或在文档中另行规定。</t>
        </is>
      </c>
    </row>
    <row r="30" ht="56" customHeight="1">
      <c r="A30" s="11" t="inlineStr">
        <is>
          <t>tile_unlock_push</t>
        </is>
      </c>
      <c r="B30" s="11" t="inlineStr">
        <is>
          <t>输送工程</t>
        </is>
      </c>
      <c r="C30" s="22" t="inlineStr">
        <is>
          <t>地块</t>
        </is>
      </c>
      <c r="D30" s="11" t="n">
        <v>3</v>
      </c>
      <c r="E30" s="11" t="n">
        <v>0</v>
      </c>
      <c r="F30" s="11" t="n">
        <v>3</v>
      </c>
      <c r="G30" s="11" t="inlineStr">
        <is>
          <t>tile_unlock_water</t>
        </is>
      </c>
      <c r="H30" s="13" t="n">
        <v>1</v>
      </c>
      <c r="I30" s="11" t="inlineStr">
        <is>
          <t>金币</t>
        </is>
      </c>
      <c r="J30" s="14" t="n">
        <v>5000</v>
      </c>
      <c r="K30" s="13" t="n">
        <v>1</v>
      </c>
      <c r="L30" s="15">
        <f>J30</f>
        <v/>
      </c>
      <c r="M30" s="15">
        <f>IF(H30&gt;=2,ROUND(J30*K30,0),"")</f>
        <v/>
      </c>
      <c r="N30" s="15">
        <f>IF(H30&gt;=3,ROUND(J30*K30^2,0),"")</f>
        <v/>
      </c>
      <c r="O30" s="11" t="inlineStr">
        <is>
          <t>水域工程</t>
        </is>
      </c>
      <c r="P30" s="11" t="inlineStr">
        <is>
          <t>UNLOCK_TILE</t>
        </is>
      </c>
      <c r="Q30" s="11" t="inlineStr">
        <is>
          <t>TILE</t>
        </is>
      </c>
      <c r="R30" s="11" t="inlineStr">
        <is>
          <t>push</t>
        </is>
      </c>
      <c r="S30" s="11" t="inlineStr">
        <is>
          <t>UNLOCK</t>
        </is>
      </c>
      <c r="T30" s="13" t="n">
        <v>1</v>
      </c>
      <c r="U30" s="13" t="n">
        <v>1</v>
      </c>
      <c r="V30" s="11" t="inlineStr">
        <is>
          <t>升华时重置</t>
        </is>
      </c>
      <c r="W30" s="11" t="inlineStr">
        <is>
          <t>解锁 push 地块；每2秒随机推动同格矿物。</t>
        </is>
      </c>
      <c r="X30" s="16">
        <f>IF(P30="COIN_BONUS",INDEX(Balance!$E$4:$E$9,MIN(6,D30))*T30,IF(P30="MANUAL_REWARD_BONUS",INDEX(Balance!$E$4:$E$9,MIN(6,D30))*Balance!$B$9*T30,IF(P30="GLOBAL_MULTIPLIER",INDEX(Balance!$E$4:$E$9,MIN(6,D30))*(T30-1),"")))</f>
        <v/>
      </c>
      <c r="Y30" s="16">
        <f>IFERROR(L30/X30,"")</f>
        <v/>
      </c>
      <c r="Z30" s="17">
        <f>IF(D30&lt;=2,Balance!$B$10,IF(D30&lt;=4,Balance!$B$11,Balance!$B$12))</f>
        <v/>
      </c>
      <c r="AA30" s="15">
        <f>IF(X30="","",ROUND(X30*Z30,0))</f>
        <v/>
      </c>
      <c r="AB30" s="11" t="inlineStr">
        <is>
          <t>推入water的返还仍按water规则。</t>
        </is>
      </c>
    </row>
    <row r="31" ht="56" customHeight="1">
      <c r="A31" s="11" t="inlineStr">
        <is>
          <t>tile_unlock_volcano</t>
        </is>
      </c>
      <c r="B31" s="11" t="inlineStr">
        <is>
          <t>稳定火山</t>
        </is>
      </c>
      <c r="C31" s="22" t="inlineStr">
        <is>
          <t>地块</t>
        </is>
      </c>
      <c r="D31" s="11" t="n">
        <v>3</v>
      </c>
      <c r="E31" s="11" t="n">
        <v>2</v>
      </c>
      <c r="F31" s="11" t="n">
        <v>3</v>
      </c>
      <c r="G31" s="11" t="inlineStr">
        <is>
          <t>tile_unlock_fire</t>
        </is>
      </c>
      <c r="H31" s="13" t="n">
        <v>1</v>
      </c>
      <c r="I31" s="11" t="inlineStr">
        <is>
          <t>金币</t>
        </is>
      </c>
      <c r="J31" s="14" t="n">
        <v>150000</v>
      </c>
      <c r="K31" s="13" t="n">
        <v>1</v>
      </c>
      <c r="L31" s="15">
        <f>J31</f>
        <v/>
      </c>
      <c r="M31" s="15">
        <f>IF(H31&gt;=2,ROUND(J31*K31,0),"")</f>
        <v/>
      </c>
      <c r="N31" s="15">
        <f>IF(H31&gt;=3,ROUND(J31*K31^2,0),"")</f>
        <v/>
      </c>
      <c r="O31" s="11" t="inlineStr">
        <is>
          <t>熔岩工程</t>
        </is>
      </c>
      <c r="P31" s="11" t="inlineStr">
        <is>
          <t>UNLOCK_TILE</t>
        </is>
      </c>
      <c r="Q31" s="11" t="inlineStr">
        <is>
          <t>TILE</t>
        </is>
      </c>
      <c r="R31" s="11" t="inlineStr">
        <is>
          <t>volcano_stable</t>
        </is>
      </c>
      <c r="S31" s="11" t="inlineStr">
        <is>
          <t>UNLOCK</t>
        </is>
      </c>
      <c r="T31" s="13" t="n">
        <v>1</v>
      </c>
      <c r="U31" s="13" t="n">
        <v>1</v>
      </c>
      <c r="V31" s="11" t="inlineStr">
        <is>
          <t>升华时重置</t>
        </is>
      </c>
      <c r="W31" s="11" t="inlineStr">
        <is>
          <t>解锁 volcano_stable；每2秒对四个正交邻格造成30伤害。</t>
        </is>
      </c>
      <c r="X31" s="16">
        <f>IF(P31="COIN_BONUS",INDEX(Balance!$E$4:$E$9,MIN(6,D31))*T31,IF(P31="MANUAL_REWARD_BONUS",INDEX(Balance!$E$4:$E$9,MIN(6,D31))*Balance!$B$9*T31,IF(P31="GLOBAL_MULTIPLIER",INDEX(Balance!$E$4:$E$9,MIN(6,D31))*(T31-1),"")))</f>
        <v/>
      </c>
      <c r="Y31" s="16">
        <f>IFERROR(L31/X31,"")</f>
        <v/>
      </c>
      <c r="Z31" s="17">
        <f>IF(D31&lt;=2,Balance!$B$10,IF(D31&lt;=4,Balance!$B$11,Balance!$B$12))</f>
        <v/>
      </c>
      <c r="AA31" s="15">
        <f>IF(X31="","",ROUND(X31*Z31,0))</f>
        <v/>
      </c>
      <c r="AB31" s="11" t="inlineStr">
        <is>
          <t>准确ID为 volcano_stable；自身不能承载矿物。</t>
        </is>
      </c>
    </row>
    <row r="32" ht="56" customHeight="1">
      <c r="A32" s="11" t="inlineStr">
        <is>
          <t>tile_unlock_spawn</t>
        </is>
      </c>
      <c r="B32" s="11" t="inlineStr">
        <is>
          <t>水晶矿脉</t>
        </is>
      </c>
      <c r="C32" s="22" t="inlineStr">
        <is>
          <t>地块</t>
        </is>
      </c>
      <c r="D32" s="11" t="n">
        <v>4</v>
      </c>
      <c r="E32" s="11" t="n">
        <v>-2</v>
      </c>
      <c r="F32" s="11" t="n">
        <v>4</v>
      </c>
      <c r="G32" s="11" t="inlineStr">
        <is>
          <t>tile_unlock_pull,tile_unlock_push,ore_unlock_crystal</t>
        </is>
      </c>
      <c r="H32" s="13" t="n">
        <v>1</v>
      </c>
      <c r="I32" s="11" t="inlineStr">
        <is>
          <t>金币</t>
        </is>
      </c>
      <c r="J32" s="14" t="n">
        <v>15000</v>
      </c>
      <c r="K32" s="13" t="n">
        <v>1</v>
      </c>
      <c r="L32" s="15">
        <f>J32</f>
        <v/>
      </c>
      <c r="M32" s="15">
        <f>IF(H32&gt;=2,ROUND(J32*K32,0),"")</f>
        <v/>
      </c>
      <c r="N32" s="15">
        <f>IF(H32&gt;=3,ROUND(J32*K32^2,0),"")</f>
        <v/>
      </c>
      <c r="O32" s="11" t="inlineStr">
        <is>
          <t>磁吸、输送、水晶勘探</t>
        </is>
      </c>
      <c r="P32" s="11" t="inlineStr">
        <is>
          <t>UNLOCK_TILE</t>
        </is>
      </c>
      <c r="Q32" s="11" t="inlineStr">
        <is>
          <t>TILE</t>
        </is>
      </c>
      <c r="R32" s="11" t="inlineStr">
        <is>
          <t>spawn</t>
        </is>
      </c>
      <c r="S32" s="11" t="inlineStr">
        <is>
          <t>UNLOCK</t>
        </is>
      </c>
      <c r="T32" s="13" t="n">
        <v>1</v>
      </c>
      <c r="U32" s="13" t="n">
        <v>1</v>
      </c>
      <c r="V32" s="11" t="inlineStr">
        <is>
          <t>升华时重置</t>
        </is>
      </c>
      <c r="W32" s="11" t="inlineStr">
        <is>
          <t>解锁 spawn；空置时每5秒生成一个已解锁的 crystal。</t>
        </is>
      </c>
      <c r="X32" s="16">
        <f>IF(P32="COIN_BONUS",INDEX(Balance!$E$4:$E$9,MIN(6,D32))*T32,IF(P32="MANUAL_REWARD_BONUS",INDEX(Balance!$E$4:$E$9,MIN(6,D32))*Balance!$B$9*T32,IF(P32="GLOBAL_MULTIPLIER",INDEX(Balance!$E$4:$E$9,MIN(6,D32))*(T32-1),"")))</f>
        <v/>
      </c>
      <c r="Y32" s="16">
        <f>IFERROR(L32/X32,"")</f>
        <v/>
      </c>
      <c r="Z32" s="17">
        <f>IF(D32&lt;=2,Balance!$B$10,IF(D32&lt;=4,Balance!$B$11,Balance!$B$12))</f>
        <v/>
      </c>
      <c r="AA32" s="15">
        <f>IF(X32="","",ROUND(X32*Z32,0))</f>
        <v/>
      </c>
      <c r="AB32" s="11" t="inlineStr">
        <is>
          <t>必须校验 crystal；V2建议最多拥有2块，放置基础成本20K。</t>
        </is>
      </c>
    </row>
    <row r="33" ht="56" customHeight="1">
      <c r="A33" s="11" t="inlineStr">
        <is>
          <t>tile_unlock_upgrade</t>
        </is>
      </c>
      <c r="B33" s="11" t="inlineStr">
        <is>
          <t>升级台</t>
        </is>
      </c>
      <c r="C33" s="22" t="inlineStr">
        <is>
          <t>地块</t>
        </is>
      </c>
      <c r="D33" s="11" t="n">
        <v>4</v>
      </c>
      <c r="E33" s="11" t="n">
        <v>0</v>
      </c>
      <c r="F33" s="11" t="n">
        <v>4</v>
      </c>
      <c r="G33" s="11" t="inlineStr">
        <is>
          <t>tile_unlock_fire,ore_large_vein</t>
        </is>
      </c>
      <c r="H33" s="13" t="n">
        <v>1</v>
      </c>
      <c r="I33" s="11" t="inlineStr">
        <is>
          <t>金币</t>
        </is>
      </c>
      <c r="J33" s="14" t="n">
        <v>30000</v>
      </c>
      <c r="K33" s="13" t="n">
        <v>1</v>
      </c>
      <c r="L33" s="15">
        <f>J33</f>
        <v/>
      </c>
      <c r="M33" s="15">
        <f>IF(H33&gt;=2,ROUND(J33*K33,0),"")</f>
        <v/>
      </c>
      <c r="N33" s="15">
        <f>IF(H33&gt;=3,ROUND(J33*K33^2,0),"")</f>
        <v/>
      </c>
      <c r="O33" s="11" t="inlineStr">
        <is>
          <t>熔岩工程与大型矿脉</t>
        </is>
      </c>
      <c r="P33" s="11" t="inlineStr">
        <is>
          <t>UNLOCK_TILE</t>
        </is>
      </c>
      <c r="Q33" s="11" t="inlineStr">
        <is>
          <t>TILE</t>
        </is>
      </c>
      <c r="R33" s="11" t="inlineStr">
        <is>
          <t>upgrade</t>
        </is>
      </c>
      <c r="S33" s="11" t="inlineStr">
        <is>
          <t>UNLOCK</t>
        </is>
      </c>
      <c r="T33" s="13" t="n">
        <v>1</v>
      </c>
      <c r="U33" s="13" t="n">
        <v>1</v>
      </c>
      <c r="V33" s="11" t="inlineStr">
        <is>
          <t>升华时重置</t>
        </is>
      </c>
      <c r="W33" s="11" t="inlineStr">
        <is>
          <t>解锁 upgrade；每3秒令同格矿物升1级。</t>
        </is>
      </c>
      <c r="X33" s="16">
        <f>IF(P33="COIN_BONUS",INDEX(Balance!$E$4:$E$9,MIN(6,D33))*T33,IF(P33="MANUAL_REWARD_BONUS",INDEX(Balance!$E$4:$E$9,MIN(6,D33))*Balance!$B$9*T33,IF(P33="GLOBAL_MULTIPLIER",INDEX(Balance!$E$4:$E$9,MIN(6,D33))*(T33-1),"")))</f>
        <v/>
      </c>
      <c r="Y33" s="16">
        <f>IFERROR(L33/X33,"")</f>
        <v/>
      </c>
      <c r="Z33" s="17">
        <f>IF(D33&lt;=2,Balance!$B$10,IF(D33&lt;=4,Balance!$B$11,Balance!$B$12))</f>
        <v/>
      </c>
      <c r="AA33" s="15">
        <f>IF(X33="","",ROUND(X33*Z33,0))</f>
        <v/>
      </c>
      <c r="AB33" s="11" t="inlineStr">
        <is>
          <t>最高等级必须受已解锁自然等级/单独升级上限约束。</t>
        </is>
      </c>
    </row>
    <row r="34" ht="56" customHeight="1">
      <c r="A34" s="11" t="inlineStr">
        <is>
          <t>tile_fire_rate</t>
        </is>
      </c>
      <c r="B34" s="11" t="inlineStr">
        <is>
          <t>高温燃烧</t>
        </is>
      </c>
      <c r="C34" s="22" t="inlineStr">
        <is>
          <t>地块</t>
        </is>
      </c>
      <c r="D34" s="11" t="n">
        <v>4</v>
      </c>
      <c r="E34" s="11" t="n">
        <v>2</v>
      </c>
      <c r="F34" s="11" t="n">
        <v>4</v>
      </c>
      <c r="G34" s="11" t="inlineStr">
        <is>
          <t>tile_unlock_fire</t>
        </is>
      </c>
      <c r="H34" s="13" t="n">
        <v>2</v>
      </c>
      <c r="I34" s="11" t="inlineStr">
        <is>
          <t>金币</t>
        </is>
      </c>
      <c r="J34" s="14" t="n">
        <v>8000</v>
      </c>
      <c r="K34" s="13" t="n">
        <v>5</v>
      </c>
      <c r="L34" s="15">
        <f>J34</f>
        <v/>
      </c>
      <c r="M34" s="15">
        <f>IF(H34&gt;=2,ROUND(J34*K34,0),"")</f>
        <v/>
      </c>
      <c r="N34" s="15">
        <f>IF(H34&gt;=3,ROUND(J34*K34^2,0),"")</f>
        <v/>
      </c>
      <c r="O34" s="11" t="inlineStr">
        <is>
          <t>熔岩工程</t>
        </is>
      </c>
      <c r="P34" s="11" t="inlineStr">
        <is>
          <t>TILE_RATE_BONUS</t>
        </is>
      </c>
      <c r="Q34" s="11" t="inlineStr">
        <is>
          <t>TILE</t>
        </is>
      </c>
      <c r="R34" s="11" t="inlineStr">
        <is>
          <t>fire</t>
        </is>
      </c>
      <c r="S34" s="11" t="inlineStr">
        <is>
          <t>ADD_PERCENT</t>
        </is>
      </c>
      <c r="T34" s="18" t="n">
        <v>0.15</v>
      </c>
      <c r="U34" s="18" t="n">
        <v>0.3</v>
      </c>
      <c r="V34" s="11" t="inlineStr">
        <is>
          <t>升华时重置</t>
        </is>
      </c>
      <c r="W34" s="11" t="inlineStr">
        <is>
          <t>每级使 fire 的触发速率 +15%。</t>
        </is>
      </c>
      <c r="X34" s="16">
        <f>IF(P34="COIN_BONUS",INDEX(Balance!$E$4:$E$9,MIN(6,D34))*T34,IF(P34="MANUAL_REWARD_BONUS",INDEX(Balance!$E$4:$E$9,MIN(6,D34))*Balance!$B$9*T34,IF(P34="GLOBAL_MULTIPLIER",INDEX(Balance!$E$4:$E$9,MIN(6,D34))*(T34-1),"")))</f>
        <v/>
      </c>
      <c r="Y34" s="16">
        <f>IFERROR(L34/X34,"")</f>
        <v/>
      </c>
      <c r="Z34" s="17">
        <f>IF(D34&lt;=2,Balance!$B$10,IF(D34&lt;=4,Balance!$B$11,Balance!$B$12))</f>
        <v/>
      </c>
      <c r="AA34" s="15">
        <f>IF(X34="","",ROUND(X34*Z34,0))</f>
        <v/>
      </c>
      <c r="AB34" s="11" t="inlineStr">
        <is>
          <t>按 rate 加成计算：interval=base/(1+rate_bonus)。</t>
        </is>
      </c>
    </row>
    <row r="35" ht="56" customHeight="1">
      <c r="A35" s="11" t="inlineStr">
        <is>
          <t>tile_water_salvage</t>
        </is>
      </c>
      <c r="B35" s="11" t="inlineStr">
        <is>
          <t>沉底打捞</t>
        </is>
      </c>
      <c r="C35" s="22" t="inlineStr">
        <is>
          <t>地块</t>
        </is>
      </c>
      <c r="D35" s="11" t="n">
        <v>5</v>
      </c>
      <c r="E35" s="11" t="n">
        <v>-2</v>
      </c>
      <c r="F35" s="11" t="n">
        <v>5</v>
      </c>
      <c r="G35" s="11" t="inlineStr">
        <is>
          <t>tile_unlock_water</t>
        </is>
      </c>
      <c r="H35" s="13" t="n">
        <v>2</v>
      </c>
      <c r="I35" s="11" t="inlineStr">
        <is>
          <t>金币</t>
        </is>
      </c>
      <c r="J35" s="14" t="n">
        <v>8000</v>
      </c>
      <c r="K35" s="13" t="n">
        <v>5</v>
      </c>
      <c r="L35" s="15">
        <f>J35</f>
        <v/>
      </c>
      <c r="M35" s="15">
        <f>IF(H35&gt;=2,ROUND(J35*K35,0),"")</f>
        <v/>
      </c>
      <c r="N35" s="15">
        <f>IF(H35&gt;=3,ROUND(J35*K35^2,0),"")</f>
        <v/>
      </c>
      <c r="O35" s="11" t="inlineStr">
        <is>
          <t>水域工程</t>
        </is>
      </c>
      <c r="P35" s="11" t="inlineStr">
        <is>
          <t>SINK_REWARD_RATIO</t>
        </is>
      </c>
      <c r="Q35" s="11" t="inlineStr">
        <is>
          <t>TILE</t>
        </is>
      </c>
      <c r="R35" s="11" t="inlineStr">
        <is>
          <t>water</t>
        </is>
      </c>
      <c r="S35" s="11" t="inlineStr">
        <is>
          <t>ADD</t>
        </is>
      </c>
      <c r="T35" s="13" t="n">
        <v>0.05</v>
      </c>
      <c r="U35" s="18" t="n">
        <v>0.2</v>
      </c>
      <c r="V35" s="11" t="inlineStr">
        <is>
          <t>升华时重置</t>
        </is>
      </c>
      <c r="W35" s="11" t="inlineStr">
        <is>
          <t>每级使 water 的返还比例 +5个百分点，最高20%。</t>
        </is>
      </c>
      <c r="X35" s="16">
        <f>IF(P35="COIN_BONUS",INDEX(Balance!$E$4:$E$9,MIN(6,D35))*T35,IF(P35="MANUAL_REWARD_BONUS",INDEX(Balance!$E$4:$E$9,MIN(6,D35))*Balance!$B$9*T35,IF(P35="GLOBAL_MULTIPLIER",INDEX(Balance!$E$4:$E$9,MIN(6,D35))*(T35-1),"")))</f>
        <v/>
      </c>
      <c r="Y35" s="16">
        <f>IFERROR(L35/X35,"")</f>
        <v/>
      </c>
      <c r="Z35" s="17">
        <f>IF(D35&lt;=2,Balance!$B$10,IF(D35&lt;=4,Balance!$B$11,Balance!$B$12))</f>
        <v/>
      </c>
      <c r="AA35" s="15">
        <f>IF(X35="","",ROUND(X35*Z35,0))</f>
        <v/>
      </c>
      <c r="AB35" s="11" t="inlineStr">
        <is>
          <t>把硬编码0.1迁移到 TileDef/ModifierSet。</t>
        </is>
      </c>
    </row>
    <row r="36" ht="56" customHeight="1">
      <c r="A36" s="11" t="inlineStr">
        <is>
          <t>tile_unlock_rarity</t>
        </is>
      </c>
      <c r="B36" s="11" t="inlineStr">
        <is>
          <t>稀有矿脉</t>
        </is>
      </c>
      <c r="C36" s="22" t="inlineStr">
        <is>
          <t>地块</t>
        </is>
      </c>
      <c r="D36" s="11" t="n">
        <v>5</v>
      </c>
      <c r="E36" s="11" t="n">
        <v>0</v>
      </c>
      <c r="F36" s="11" t="n">
        <v>5</v>
      </c>
      <c r="G36" s="11" t="inlineStr">
        <is>
          <t>tile_unlock_spawn,tile_unlock_upgrade</t>
        </is>
      </c>
      <c r="H36" s="13" t="n">
        <v>1</v>
      </c>
      <c r="I36" s="11" t="inlineStr">
        <is>
          <t>金币</t>
        </is>
      </c>
      <c r="J36" s="14" t="n">
        <v>75000</v>
      </c>
      <c r="K36" s="13" t="n">
        <v>1</v>
      </c>
      <c r="L36" s="15">
        <f>J36</f>
        <v/>
      </c>
      <c r="M36" s="15">
        <f>IF(H36&gt;=2,ROUND(J36*K36,0),"")</f>
        <v/>
      </c>
      <c r="N36" s="15">
        <f>IF(H36&gt;=3,ROUND(J36*K36^2,0),"")</f>
        <v/>
      </c>
      <c r="O36" s="11" t="inlineStr">
        <is>
          <t>水晶矿脉与升级台</t>
        </is>
      </c>
      <c r="P36" s="11" t="inlineStr">
        <is>
          <t>UNLOCK_TILE</t>
        </is>
      </c>
      <c r="Q36" s="11" t="inlineStr">
        <is>
          <t>TILE</t>
        </is>
      </c>
      <c r="R36" s="11" t="inlineStr">
        <is>
          <t>rarity</t>
        </is>
      </c>
      <c r="S36" s="11" t="inlineStr">
        <is>
          <t>UNLOCK</t>
        </is>
      </c>
      <c r="T36" s="13" t="n">
        <v>1</v>
      </c>
      <c r="U36" s="13" t="n">
        <v>1</v>
      </c>
      <c r="V36" s="11" t="inlineStr">
        <is>
          <t>升华时重置</t>
        </is>
      </c>
      <c r="W36" s="11" t="inlineStr">
        <is>
          <t>解锁 rarity；自动落矿选中该格时，稀有度3以上矿物权重 +50%。</t>
        </is>
      </c>
      <c r="X36" s="16">
        <f>IF(P36="COIN_BONUS",INDEX(Balance!$E$4:$E$9,MIN(6,D36))*T36,IF(P36="MANUAL_REWARD_BONUS",INDEX(Balance!$E$4:$E$9,MIN(6,D36))*Balance!$B$9*T36,IF(P36="GLOBAL_MULTIPLIER",INDEX(Balance!$E$4:$E$9,MIN(6,D36))*(T36-1),"")))</f>
        <v/>
      </c>
      <c r="Y36" s="16">
        <f>IFERROR(L36/X36,"")</f>
        <v/>
      </c>
      <c r="Z36" s="17">
        <f>IF(D36&lt;=2,Balance!$B$10,IF(D36&lt;=4,Balance!$B$11,Balance!$B$12))</f>
        <v/>
      </c>
      <c r="AA36" s="15">
        <f>IF(X36="","",ROUND(X36*Z36,0))</f>
        <v/>
      </c>
      <c r="AB36" s="11" t="inlineStr">
        <is>
          <t>V2不再硬过滤min_rarity=3；建议最多拥有1块，避免高阶矿值导致经济爆炸。</t>
        </is>
      </c>
    </row>
    <row r="37" ht="56" customHeight="1">
      <c r="A37" s="11" t="inlineStr">
        <is>
          <t>tile_stone_value</t>
        </is>
      </c>
      <c r="B37" s="11" t="inlineStr">
        <is>
          <t>精炼岩床</t>
        </is>
      </c>
      <c r="C37" s="22" t="inlineStr">
        <is>
          <t>地块</t>
        </is>
      </c>
      <c r="D37" s="11" t="n">
        <v>5</v>
      </c>
      <c r="E37" s="11" t="n">
        <v>2</v>
      </c>
      <c r="F37" s="11" t="n">
        <v>5</v>
      </c>
      <c r="G37" s="11" t="inlineStr">
        <is>
          <t>tile_unlock_stone</t>
        </is>
      </c>
      <c r="H37" s="13" t="n">
        <v>2</v>
      </c>
      <c r="I37" s="11" t="inlineStr">
        <is>
          <t>金币</t>
        </is>
      </c>
      <c r="J37" s="14" t="n">
        <v>12000</v>
      </c>
      <c r="K37" s="13" t="n">
        <v>5</v>
      </c>
      <c r="L37" s="15">
        <f>J37</f>
        <v/>
      </c>
      <c r="M37" s="15">
        <f>IF(H37&gt;=2,ROUND(J37*K37,0),"")</f>
        <v/>
      </c>
      <c r="N37" s="15">
        <f>IF(H37&gt;=3,ROUND(J37*K37^2,0),"")</f>
        <v/>
      </c>
      <c r="O37" s="11" t="inlineStr">
        <is>
          <t>石质工程</t>
        </is>
      </c>
      <c r="P37" s="11" t="inlineStr">
        <is>
          <t>TILE_VALUE_MULTIPLIER</t>
        </is>
      </c>
      <c r="Q37" s="11" t="inlineStr">
        <is>
          <t>TILE</t>
        </is>
      </c>
      <c r="R37" s="11" t="inlineStr">
        <is>
          <t>stone</t>
        </is>
      </c>
      <c r="S37" s="11" t="inlineStr">
        <is>
          <t>ADD</t>
        </is>
      </c>
      <c r="T37" s="13" t="n">
        <v>0.15</v>
      </c>
      <c r="U37" s="13" t="n">
        <v>1.8</v>
      </c>
      <c r="V37" s="11" t="inlineStr">
        <is>
          <t>升华时重置</t>
        </is>
      </c>
      <c r="W37" s="11" t="inlineStr">
        <is>
          <t>每级使 stone 的结算倍率 +0.15，最高1.8。</t>
        </is>
      </c>
      <c r="X37" s="16">
        <f>IF(P37="COIN_BONUS",INDEX(Balance!$E$4:$E$9,MIN(6,D37))*T37,IF(P37="MANUAL_REWARD_BONUS",INDEX(Balance!$E$4:$E$9,MIN(6,D37))*Balance!$B$9*T37,IF(P37="GLOBAL_MULTIPLIER",INDEX(Balance!$E$4:$E$9,MIN(6,D37))*(T37-1),"")))</f>
        <v/>
      </c>
      <c r="Y37" s="16">
        <f>IFERROR(L37/X37,"")</f>
        <v/>
      </c>
      <c r="Z37" s="17">
        <f>IF(D37&lt;=2,Balance!$B$10,IF(D37&lt;=4,Balance!$B$11,Balance!$B$12))</f>
        <v/>
      </c>
      <c r="AA37" s="15">
        <f>IF(X37="","",ROUND(X37*Z37,0))</f>
        <v/>
      </c>
      <c r="AB37" s="11" t="inlineStr">
        <is>
          <t>与岩层鉴价师共享上限，避免重复突破。</t>
        </is>
      </c>
    </row>
    <row r="38" ht="56" customHeight="1">
      <c r="A38" s="11" t="inlineStr">
        <is>
          <t>tile_grass_damage</t>
        </is>
      </c>
      <c r="B38" s="11" t="inlineStr">
        <is>
          <t>坚韧草根</t>
        </is>
      </c>
      <c r="C38" s="22" t="inlineStr">
        <is>
          <t>地块</t>
        </is>
      </c>
      <c r="D38" s="11" t="n">
        <v>6</v>
      </c>
      <c r="E38" s="11" t="n">
        <v>-1</v>
      </c>
      <c r="F38" s="11" t="n">
        <v>6</v>
      </c>
      <c r="G38" s="11" t="inlineStr">
        <is>
          <t>tile_unlock_stone</t>
        </is>
      </c>
      <c r="H38" s="13" t="n">
        <v>2</v>
      </c>
      <c r="I38" s="11" t="inlineStr">
        <is>
          <t>金币</t>
        </is>
      </c>
      <c r="J38" s="14" t="n">
        <v>3000</v>
      </c>
      <c r="K38" s="13" t="n">
        <v>5</v>
      </c>
      <c r="L38" s="15">
        <f>J38</f>
        <v/>
      </c>
      <c r="M38" s="15">
        <f>IF(H38&gt;=2,ROUND(J38*K38,0),"")</f>
        <v/>
      </c>
      <c r="N38" s="15">
        <f>IF(H38&gt;=3,ROUND(J38*K38^2,0),"")</f>
        <v/>
      </c>
      <c r="O38" s="11" t="inlineStr">
        <is>
          <t>石质工程</t>
        </is>
      </c>
      <c r="P38" s="11" t="inlineStr">
        <is>
          <t>TILE_DAMAGE_MULTIPLIER</t>
        </is>
      </c>
      <c r="Q38" s="11" t="inlineStr">
        <is>
          <t>TILE</t>
        </is>
      </c>
      <c r="R38" s="11" t="inlineStr">
        <is>
          <t>grass</t>
        </is>
      </c>
      <c r="S38" s="11" t="inlineStr">
        <is>
          <t>ADD</t>
        </is>
      </c>
      <c r="T38" s="13" t="n">
        <v>0.15</v>
      </c>
      <c r="U38" s="13" t="n">
        <v>1.8</v>
      </c>
      <c r="V38" s="11" t="inlineStr">
        <is>
          <t>升华时重置</t>
        </is>
      </c>
      <c r="W38" s="11" t="inlineStr">
        <is>
          <t>每级使 grass 上的手动挖矿伤害倍率 +0.15，最高1.8。</t>
        </is>
      </c>
      <c r="X38" s="16">
        <f>IF(P38="COIN_BONUS",INDEX(Balance!$E$4:$E$9,MIN(6,D38))*T38,IF(P38="MANUAL_REWARD_BONUS",INDEX(Balance!$E$4:$E$9,MIN(6,D38))*Balance!$B$9*T38,IF(P38="GLOBAL_MULTIPLIER",INDEX(Balance!$E$4:$E$9,MIN(6,D38))*(T38-1),"")))</f>
        <v/>
      </c>
      <c r="Y38" s="16">
        <f>IFERROR(L38/X38,"")</f>
        <v/>
      </c>
      <c r="Z38" s="17">
        <f>IF(D38&lt;=2,Balance!$B$10,IF(D38&lt;=4,Balance!$B$11,Balance!$B$12))</f>
        <v/>
      </c>
      <c r="AA38" s="15">
        <f>IF(X38="","",ROUND(X38*Z38,0))</f>
        <v/>
      </c>
      <c r="AB38" s="11" t="inlineStr">
        <is>
          <t>grass从开局可用，因此这是升级而非解锁。</t>
        </is>
      </c>
    </row>
    <row r="39" ht="56" customHeight="1">
      <c r="A39" s="11" t="inlineStr">
        <is>
          <t>tile_network</t>
        </is>
      </c>
      <c r="B39" s="11" t="inlineStr">
        <is>
          <t>自动化网络</t>
        </is>
      </c>
      <c r="C39" s="22" t="inlineStr">
        <is>
          <t>地块</t>
        </is>
      </c>
      <c r="D39" s="11" t="n">
        <v>6</v>
      </c>
      <c r="E39" s="11" t="n">
        <v>1</v>
      </c>
      <c r="F39" s="11" t="n">
        <v>6</v>
      </c>
      <c r="G39" s="11" t="inlineStr">
        <is>
          <t>tile_unlock_rarity,tile_unlock_volcano</t>
        </is>
      </c>
      <c r="H39" s="13" t="n">
        <v>1</v>
      </c>
      <c r="I39" s="11" t="inlineStr">
        <is>
          <t>金币</t>
        </is>
      </c>
      <c r="J39" s="14" t="n">
        <v>300000</v>
      </c>
      <c r="K39" s="13" t="n">
        <v>1</v>
      </c>
      <c r="L39" s="15">
        <f>J39</f>
        <v/>
      </c>
      <c r="M39" s="15">
        <f>IF(H39&gt;=2,ROUND(J39*K39,0),"")</f>
        <v/>
      </c>
      <c r="N39" s="15">
        <f>IF(H39&gt;=3,ROUND(J39*K39^2,0),"")</f>
        <v/>
      </c>
      <c r="O39" s="11" t="inlineStr">
        <is>
          <t>稀有矿脉与稳定火山</t>
        </is>
      </c>
      <c r="P39" s="11" t="inlineStr">
        <is>
          <t>TILE_RATE_BONUS</t>
        </is>
      </c>
      <c r="Q39" s="11" t="inlineStr">
        <is>
          <t>TILE</t>
        </is>
      </c>
      <c r="R39" s="11" t="inlineStr">
        <is>
          <t>periodic_all</t>
        </is>
      </c>
      <c r="S39" s="11" t="inlineStr">
        <is>
          <t>ADD_PERCENT</t>
        </is>
      </c>
      <c r="T39" s="18" t="n">
        <v>0.2</v>
      </c>
      <c r="U39" s="18" t="n">
        <v>0.2</v>
      </c>
      <c r="V39" s="11" t="inlineStr">
        <is>
          <t>升华时重置</t>
        </is>
      </c>
      <c r="W39" s="11" t="inlineStr">
        <is>
          <t>分支终点：所有周期地块触发速率 +20%。</t>
        </is>
      </c>
      <c r="X39" s="16">
        <f>IF(P39="COIN_BONUS",INDEX(Balance!$E$4:$E$9,MIN(6,D39))*T39,IF(P39="MANUAL_REWARD_BONUS",INDEX(Balance!$E$4:$E$9,MIN(6,D39))*Balance!$B$9*T39,IF(P39="GLOBAL_MULTIPLIER",INDEX(Balance!$E$4:$E$9,MIN(6,D39))*(T39-1),"")))</f>
        <v/>
      </c>
      <c r="Y39" s="16">
        <f>IFERROR(L39/X39,"")</f>
        <v/>
      </c>
      <c r="Z39" s="17">
        <f>IF(D39&lt;=2,Balance!$B$10,IF(D39&lt;=4,Balance!$B$11,Balance!$B$12))</f>
        <v/>
      </c>
      <c r="AA39" s="15">
        <f>IF(X39="","",ROUND(X39*Z39,0))</f>
        <v/>
      </c>
      <c r="AB39" s="11" t="inlineStr">
        <is>
          <t>统一rate池；有效间隔不得低于0.25秒。</t>
        </is>
      </c>
    </row>
  </sheetData>
  <autoFilter ref="A4:AB39"/>
  <mergeCells count="2">
    <mergeCell ref="A2:AB2"/>
    <mergeCell ref="A1:AB1"/>
  </mergeCells>
  <conditionalFormatting sqref="Y5:Y39">
    <cfRule type="expression" priority="1" dxfId="0">
      <formula>$Y5&gt;$Z5*2</formula>
    </cfRule>
  </conditionalFormatting>
  <dataValidations count="5">
    <dataValidation sqref="C5:C39" showDropDown="0" showInputMessage="0" showErrorMessage="0" allowBlank="0" type="list">
      <formula1>=Lists!$A$1:$A$4</formula1>
    </dataValidation>
    <dataValidation sqref="I5:I39" showDropDown="0" showInputMessage="0" showErrorMessage="0" allowBlank="0" type="list">
      <formula1>=Lists!$B$1:$B$2</formula1>
    </dataValidation>
    <dataValidation sqref="Q5:Q39" showDropDown="0" showInputMessage="0" showErrorMessage="0" allowBlank="0" type="list">
      <formula1>=Lists!$D$1:$D$5</formula1>
    </dataValidation>
    <dataValidation sqref="S5:S39" showDropDown="0" showInputMessage="0" showErrorMessage="0" allowBlank="0" type="list">
      <formula1>=Lists!$C$1:$C$5</formula1>
    </dataValidation>
    <dataValidation sqref="V5:V39" showDropDown="0" showInputMessage="0" showErrorMessage="0" allowBlank="0" type="list">
      <formula1>=Lists!$E$1:$E$2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showGridLines="0" zoomScale="9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6" customWidth="1" min="4" max="4"/>
    <col width="6" customWidth="1" min="5" max="5"/>
    <col width="35" customWidth="1" min="6" max="6"/>
    <col width="13" customWidth="1" min="7" max="7"/>
    <col width="25" customWidth="1" min="8" max="8"/>
    <col width="20" customWidth="1" min="9" max="9"/>
    <col width="14" customWidth="1" min="10" max="10"/>
    <col width="12" customWidth="1" min="11" max="11"/>
    <col width="11" customWidth="1" min="12" max="12"/>
    <col width="42" customWidth="1" min="13" max="13"/>
    <col width="48" customWidth="1" min="14" max="14"/>
  </cols>
  <sheetData>
    <row r="1" ht="34" customHeight="1">
      <c r="A1" s="1" t="inlineStr">
        <is>
          <t>Advanced Talents · 升华天赋</t>
        </is>
      </c>
    </row>
    <row r="2" ht="30" customHeight="1">
      <c r="A2" s="2" t="inlineStr">
        <is>
          <t>永久树以规则变化、自动化与重开便利为主；消费点数不降低历史点数提供的永久倍率。</t>
        </is>
      </c>
    </row>
    <row r="4" ht="34" customHeight="1">
      <c r="A4" s="4" t="inlineStr">
        <is>
          <t>Node_ID</t>
        </is>
      </c>
      <c r="B4" s="4" t="inlineStr">
        <is>
          <t>名称</t>
        </is>
      </c>
      <c r="C4" s="4" t="inlineStr">
        <is>
          <t>层级</t>
        </is>
      </c>
      <c r="D4" s="4" t="inlineStr">
        <is>
          <t>X</t>
        </is>
      </c>
      <c r="E4" s="4" t="inlineStr">
        <is>
          <t>Y</t>
        </is>
      </c>
      <c r="F4" s="4" t="inlineStr">
        <is>
          <t>前置_IDs</t>
        </is>
      </c>
      <c r="G4" s="4" t="inlineStr">
        <is>
          <t>升华点成本</t>
        </is>
      </c>
      <c r="H4" s="4" t="inlineStr">
        <is>
          <t>Effect_Type</t>
        </is>
      </c>
      <c r="I4" s="4" t="inlineStr">
        <is>
          <t>Target_ID</t>
        </is>
      </c>
      <c r="J4" s="4" t="inlineStr">
        <is>
          <t>Operation</t>
        </is>
      </c>
      <c r="K4" s="4" t="inlineStr">
        <is>
          <t>数值</t>
        </is>
      </c>
      <c r="L4" s="4" t="inlineStr">
        <is>
          <t>永久性</t>
        </is>
      </c>
      <c r="M4" s="4" t="inlineStr">
        <is>
          <t>玩家描述</t>
        </is>
      </c>
      <c r="N4" s="4" t="inlineStr">
        <is>
          <t>实现说明</t>
        </is>
      </c>
    </row>
    <row r="5" ht="52" customHeight="1">
      <c r="A5" s="6" t="inlineStr">
        <is>
          <t>meta_start_cache</t>
        </is>
      </c>
      <c r="B5" s="23" t="inlineStr">
        <is>
          <t>祖传零钱</t>
        </is>
      </c>
      <c r="C5" s="6" t="n">
        <v>1</v>
      </c>
      <c r="D5" s="6" t="n">
        <v>-1</v>
      </c>
      <c r="E5" s="6" t="n">
        <v>-1</v>
      </c>
      <c r="F5" s="6" t="inlineStr"/>
      <c r="G5" s="24" t="n">
        <v>1</v>
      </c>
      <c r="H5" s="6" t="inlineStr">
        <is>
          <t>STARTING_COINS</t>
        </is>
      </c>
      <c r="I5" s="6" t="inlineStr">
        <is>
          <t>run_start</t>
        </is>
      </c>
      <c r="J5" s="6" t="inlineStr">
        <is>
          <t>SET</t>
        </is>
      </c>
      <c r="K5" s="6" t="n">
        <v>100</v>
      </c>
      <c r="L5" s="6" t="inlineStr">
        <is>
          <t>永久</t>
        </is>
      </c>
      <c r="M5" s="6" t="inlineStr">
        <is>
          <t>新一轮从100金币开始。</t>
        </is>
      </c>
      <c r="N5" s="6" t="inlineStr">
        <is>
          <t>重置完成后写入统一钱包。</t>
        </is>
      </c>
    </row>
    <row r="6" ht="52" customHeight="1">
      <c r="A6" s="6" t="inlineStr">
        <is>
          <t>meta_deep_pockets</t>
        </is>
      </c>
      <c r="B6" s="23" t="inlineStr">
        <is>
          <t>深口袋</t>
        </is>
      </c>
      <c r="C6" s="6" t="n">
        <v>1</v>
      </c>
      <c r="D6" s="6" t="n">
        <v>1</v>
      </c>
      <c r="E6" s="6" t="n">
        <v>-1</v>
      </c>
      <c r="F6" s="6" t="inlineStr"/>
      <c r="G6" s="24" t="n">
        <v>3</v>
      </c>
      <c r="H6" s="6" t="inlineStr">
        <is>
          <t>PRESTIGE_COIN_BONUS</t>
        </is>
      </c>
      <c r="I6" s="6" t="inlineStr">
        <is>
          <t>all_rewards</t>
        </is>
      </c>
      <c r="J6" s="6" t="inlineStr">
        <is>
          <t>ADD_PERCENT</t>
        </is>
      </c>
      <c r="K6" s="25" t="n">
        <v>0.1</v>
      </c>
      <c r="L6" s="6" t="inlineStr">
        <is>
          <t>永久</t>
        </is>
      </c>
      <c r="M6" s="6" t="inlineStr">
        <is>
          <t>全部金币收益永久 +10%。</t>
        </is>
      </c>
      <c r="N6" s="6" t="inlineStr">
        <is>
          <t>与每个历史升华点的1%处于同一Prestige层内相加。</t>
        </is>
      </c>
    </row>
    <row r="7" ht="52" customHeight="1">
      <c r="A7" s="6" t="inlineStr">
        <is>
          <t>meta_permanent_slot_1</t>
        </is>
      </c>
      <c r="B7" s="23" t="inlineStr">
        <is>
          <t>永久记忆 I</t>
        </is>
      </c>
      <c r="C7" s="6" t="n">
        <v>2</v>
      </c>
      <c r="D7" s="6" t="n">
        <v>-2</v>
      </c>
      <c r="E7" s="6" t="n">
        <v>-2</v>
      </c>
      <c r="F7" s="6" t="inlineStr">
        <is>
          <t>meta_start_cache</t>
        </is>
      </c>
      <c r="G7" s="24" t="n">
        <v>5</v>
      </c>
      <c r="H7" s="6" t="inlineStr">
        <is>
          <t>PERMANENT_SLOT</t>
        </is>
      </c>
      <c r="I7" s="6" t="inlineStr">
        <is>
          <t>basic_talent</t>
        </is>
      </c>
      <c r="J7" s="6" t="inlineStr">
        <is>
          <t>ADD</t>
        </is>
      </c>
      <c r="K7" s="6" t="n">
        <v>1</v>
      </c>
      <c r="L7" s="6" t="inlineStr">
        <is>
          <t>永久</t>
        </is>
      </c>
      <c r="M7" s="6" t="inlineStr">
        <is>
          <t>升华时可保留一个已购买的Basic天赋。</t>
        </is>
      </c>
      <c r="N7" s="6" t="inlineStr">
        <is>
          <t>保留槽应保存天赋ID；不可保留升华动作。</t>
        </is>
      </c>
    </row>
    <row r="8" ht="52" customHeight="1">
      <c r="A8" s="6" t="inlineStr">
        <is>
          <t>meta_auto_pick</t>
        </is>
      </c>
      <c r="B8" s="23" t="inlineStr">
        <is>
          <t>自动镐</t>
        </is>
      </c>
      <c r="C8" s="6" t="n">
        <v>2</v>
      </c>
      <c r="D8" s="6" t="n">
        <v>0</v>
      </c>
      <c r="E8" s="6" t="n">
        <v>-2</v>
      </c>
      <c r="F8" s="6" t="inlineStr">
        <is>
          <t>meta_start_cache,meta_deep_pockets</t>
        </is>
      </c>
      <c r="G8" s="24" t="n">
        <v>10</v>
      </c>
      <c r="H8" s="6" t="inlineStr">
        <is>
          <t>AUTO_PICK</t>
        </is>
      </c>
      <c r="I8" s="6" t="inlineStr">
        <is>
          <t>random_ore</t>
        </is>
      </c>
      <c r="J8" s="6" t="inlineStr">
        <is>
          <t>SET</t>
        </is>
      </c>
      <c r="K8" s="6" t="n">
        <v>2</v>
      </c>
      <c r="L8" s="6" t="inlineStr">
        <is>
          <t>永久</t>
        </is>
      </c>
      <c r="M8" s="6" t="inlineStr">
        <is>
          <t>每2秒自动攻击一个矿物。</t>
        </is>
      </c>
      <c r="N8" s="6" t="inlineStr">
        <is>
          <t>击杀原因标记为auto_pick，不享受手工精品。</t>
        </is>
      </c>
    </row>
    <row r="9" ht="52" customHeight="1">
      <c r="A9" s="6" t="inlineStr">
        <is>
          <t>meta_offline</t>
        </is>
      </c>
      <c r="B9" s="23" t="inlineStr">
        <is>
          <t>离线远征</t>
        </is>
      </c>
      <c r="C9" s="6" t="n">
        <v>2</v>
      </c>
      <c r="D9" s="6" t="n">
        <v>2</v>
      </c>
      <c r="E9" s="6" t="n">
        <v>-2</v>
      </c>
      <c r="F9" s="6" t="inlineStr">
        <is>
          <t>meta_deep_pockets</t>
        </is>
      </c>
      <c r="G9" s="24" t="n">
        <v>15</v>
      </c>
      <c r="H9" s="6" t="inlineStr">
        <is>
          <t>OFFLINE_INCOME</t>
        </is>
      </c>
      <c r="I9" s="6" t="inlineStr">
        <is>
          <t>offline</t>
        </is>
      </c>
      <c r="J9" s="6" t="inlineStr">
        <is>
          <t>SET</t>
        </is>
      </c>
      <c r="K9" s="6" t="n">
        <v>0.1</v>
      </c>
      <c r="L9" s="6" t="inlineStr">
        <is>
          <t>永久</t>
        </is>
      </c>
      <c r="M9" s="6" t="inlineStr">
        <is>
          <t>获得10%离线收益，最多累计2小时。</t>
        </is>
      </c>
      <c r="N9" s="6" t="inlineStr">
        <is>
          <t>用保存时间差结算；必须限制最大离线时长。</t>
        </is>
      </c>
    </row>
    <row r="10" ht="52" customHeight="1">
      <c r="A10" s="6" t="inlineStr">
        <is>
          <t>meta_geology_synergy</t>
        </is>
      </c>
      <c r="B10" s="23" t="inlineStr">
        <is>
          <t>地质协同</t>
        </is>
      </c>
      <c r="C10" s="6" t="n">
        <v>3</v>
      </c>
      <c r="D10" s="6" t="n">
        <v>-2</v>
      </c>
      <c r="E10" s="6" t="n">
        <v>-3</v>
      </c>
      <c r="F10" s="6" t="inlineStr">
        <is>
          <t>meta_permanent_slot_1</t>
        </is>
      </c>
      <c r="G10" s="24" t="n">
        <v>25</v>
      </c>
      <c r="H10" s="6" t="inlineStr">
        <is>
          <t>UNLOCK_SYNERGY</t>
        </is>
      </c>
      <c r="I10" s="6" t="inlineStr">
        <is>
          <t>ore_tile</t>
        </is>
      </c>
      <c r="J10" s="6" t="inlineStr">
        <is>
          <t>UNLOCK</t>
        </is>
      </c>
      <c r="K10" s="6" t="n">
        <v>1</v>
      </c>
      <c r="L10" s="6" t="inlineStr">
        <is>
          <t>永久</t>
        </is>
      </c>
      <c r="M10" s="6" t="inlineStr">
        <is>
          <t>解锁矿石与地块的非对称协同。</t>
        </is>
      </c>
      <c r="N10" s="6" t="inlineStr">
        <is>
          <t>每条协同建议封顶2~3倍，避免9格网格爆炸。</t>
        </is>
      </c>
    </row>
    <row r="11" ht="52" customHeight="1">
      <c r="A11" s="6" t="inlineStr">
        <is>
          <t>meta_golden_vein</t>
        </is>
      </c>
      <c r="B11" s="23" t="inlineStr">
        <is>
          <t>黄金矿脉事件</t>
        </is>
      </c>
      <c r="C11" s="6" t="n">
        <v>3</v>
      </c>
      <c r="D11" s="6" t="n">
        <v>0</v>
      </c>
      <c r="E11" s="6" t="n">
        <v>-3</v>
      </c>
      <c r="F11" s="6" t="inlineStr">
        <is>
          <t>meta_auto_pick,meta_offline</t>
        </is>
      </c>
      <c r="G11" s="24" t="n">
        <v>50</v>
      </c>
      <c r="H11" s="6" t="inlineStr">
        <is>
          <t>UNLOCK_EVENT</t>
        </is>
      </c>
      <c r="I11" s="6" t="inlineStr">
        <is>
          <t>golden_vein</t>
        </is>
      </c>
      <c r="J11" s="6" t="inlineStr">
        <is>
          <t>UNLOCK</t>
        </is>
      </c>
      <c r="K11" s="6" t="n">
        <v>1</v>
      </c>
      <c r="L11" s="6" t="inlineStr">
        <is>
          <t>永久</t>
        </is>
      </c>
      <c r="M11" s="6" t="inlineStr">
        <is>
          <t>偶尔出现限时高收益矿脉。</t>
        </is>
      </c>
      <c r="N11" s="6" t="inlineStr">
        <is>
          <t>奖励取 min(银行比例, 当前CPS×固定秒数)。</t>
        </is>
      </c>
    </row>
    <row r="12" ht="52" customHeight="1">
      <c r="A12" s="6" t="inlineStr">
        <is>
          <t>meta_permanent_slot_2</t>
        </is>
      </c>
      <c r="B12" s="23" t="inlineStr">
        <is>
          <t>永久记忆 II</t>
        </is>
      </c>
      <c r="C12" s="6" t="n">
        <v>4</v>
      </c>
      <c r="D12" s="6" t="n">
        <v>-1</v>
      </c>
      <c r="E12" s="6" t="n">
        <v>-4</v>
      </c>
      <c r="F12" s="6" t="inlineStr">
        <is>
          <t>meta_geology_synergy,meta_golden_vein</t>
        </is>
      </c>
      <c r="G12" s="24" t="n">
        <v>100</v>
      </c>
      <c r="H12" s="6" t="inlineStr">
        <is>
          <t>PERMANENT_SLOT</t>
        </is>
      </c>
      <c r="I12" s="6" t="inlineStr">
        <is>
          <t>basic_talent</t>
        </is>
      </c>
      <c r="J12" s="6" t="inlineStr">
        <is>
          <t>ADD</t>
        </is>
      </c>
      <c r="K12" s="6" t="n">
        <v>1</v>
      </c>
      <c r="L12" s="6" t="inlineStr">
        <is>
          <t>永久</t>
        </is>
      </c>
      <c r="M12" s="6" t="inlineStr">
        <is>
          <t>额外增加一个Basic永久保留槽。</t>
        </is>
      </c>
      <c r="N12" s="6" t="inlineStr">
        <is>
          <t>总永久槽建议保持稀少。</t>
        </is>
      </c>
    </row>
    <row r="13" ht="52" customHeight="1">
      <c r="A13" s="6" t="inlineStr">
        <is>
          <t>meta_automation_network</t>
        </is>
      </c>
      <c r="B13" s="23" t="inlineStr">
        <is>
          <t>永续自动化</t>
        </is>
      </c>
      <c r="C13" s="6" t="n">
        <v>4</v>
      </c>
      <c r="D13" s="6" t="n">
        <v>1</v>
      </c>
      <c r="E13" s="6" t="n">
        <v>-4</v>
      </c>
      <c r="F13" s="6" t="inlineStr">
        <is>
          <t>meta_golden_vein</t>
        </is>
      </c>
      <c r="G13" s="24" t="n">
        <v>250</v>
      </c>
      <c r="H13" s="6" t="inlineStr">
        <is>
          <t>OFFLINE_RATE_BONUS</t>
        </is>
      </c>
      <c r="I13" s="6" t="inlineStr">
        <is>
          <t>offline</t>
        </is>
      </c>
      <c r="J13" s="6" t="inlineStr">
        <is>
          <t>ADD_PERCENT</t>
        </is>
      </c>
      <c r="K13" s="25" t="n">
        <v>0.15</v>
      </c>
      <c r="L13" s="6" t="inlineStr">
        <is>
          <t>永久</t>
        </is>
      </c>
      <c r="M13" s="6" t="inlineStr">
        <is>
          <t>离线收益率再 +15%，离线上限延长至8小时。</t>
        </is>
      </c>
      <c r="N13" s="6" t="inlineStr">
        <is>
          <t>与离线远征同层相加；最终离线率建议不超过50%。</t>
        </is>
      </c>
    </row>
  </sheetData>
  <mergeCells count="2">
    <mergeCell ref="A2:N2"/>
    <mergeCell ref="A1:N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55"/>
  <sheetViews>
    <sheetView showGridLines="0" zoomScale="75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4" max="4"/>
    <col width="18" customWidth="1" min="6" max="6"/>
    <col width="18" customWidth="1" min="8" max="8"/>
    <col width="18" customWidth="1" min="10" max="10"/>
    <col width="18" customWidth="1" min="12" max="12"/>
    <col width="18" customWidth="1" min="14" max="14"/>
    <col width="18" customWidth="1" min="16" max="16"/>
    <col width="18" customWidth="1" min="18" max="18"/>
    <col width="18" customWidth="1" min="20" max="20"/>
    <col width="18" customWidth="1" min="22" max="22"/>
  </cols>
  <sheetData>
    <row r="1">
      <c r="A1" s="26" t="inlineStr">
        <is>
          <t>天赋树视觉稿</t>
        </is>
      </c>
    </row>
    <row r="2">
      <c r="A2" s="27" t="inlineStr">
        <is>
          <t>点击节点可跳转到权威数据行。连线仅作阅读辅助；多个前置以数据表中的前置_IDs为准。</t>
        </is>
      </c>
    </row>
    <row r="4" ht="30" customHeight="1">
      <c r="A4" s="28" t="inlineStr">
        <is>
          <t>Basic · 本轮天赋</t>
        </is>
      </c>
    </row>
    <row r="5">
      <c r="B5" s="29" t="n">
        <v>-5</v>
      </c>
      <c r="D5" s="29" t="n">
        <v>-4</v>
      </c>
      <c r="F5" s="29" t="n">
        <v>-3</v>
      </c>
      <c r="H5" s="29" t="n">
        <v>-2</v>
      </c>
      <c r="J5" s="29" t="n">
        <v>-1</v>
      </c>
      <c r="L5" s="29" t="n">
        <v>0</v>
      </c>
      <c r="N5" s="29" t="n">
        <v>1</v>
      </c>
      <c r="P5" s="29" t="n">
        <v>2</v>
      </c>
      <c r="R5" s="29" t="n">
        <v>3</v>
      </c>
      <c r="T5" s="29" t="n">
        <v>4</v>
      </c>
      <c r="V5" s="29" t="n">
        <v>5</v>
      </c>
    </row>
    <row r="6" ht="50" customHeight="1">
      <c r="A6" s="29" t="n">
        <v>-5</v>
      </c>
      <c r="J6" s="30" t="inlineStr">
        <is>
          <t>余震
25,000</t>
        </is>
      </c>
      <c r="N6" s="30" t="inlineStr">
        <is>
          <t>冲击波
150,000</t>
        </is>
      </c>
    </row>
    <row r="7">
      <c r="J7" s="31" t="inlineStr">
        <is>
          <t>│</t>
        </is>
      </c>
      <c r="N7" s="31" t="inlineStr">
        <is>
          <t>│</t>
        </is>
      </c>
    </row>
    <row r="8" ht="50" customHeight="1">
      <c r="A8" s="29" t="n">
        <v>-4</v>
      </c>
      <c r="J8" s="30" t="inlineStr">
        <is>
          <t>精准爆破
5,000</t>
        </is>
      </c>
      <c r="N8" s="30" t="inlineStr">
        <is>
          <t>双重敲击
8,000</t>
        </is>
      </c>
    </row>
    <row r="9">
      <c r="J9" s="31" t="inlineStr">
        <is>
          <t>│</t>
        </is>
      </c>
      <c r="N9" s="31" t="inlineStr">
        <is>
          <t>│</t>
        </is>
      </c>
    </row>
    <row r="10" ht="50" customHeight="1">
      <c r="A10" s="29" t="n">
        <v>-3</v>
      </c>
      <c r="J10" s="31" t="inlineStr">
        <is>
          <t>─</t>
        </is>
      </c>
      <c r="K10" s="31" t="inlineStr">
        <is>
          <t>─</t>
        </is>
      </c>
      <c r="L10" s="30" t="inlineStr">
        <is>
          <t>幸运重击
1,000</t>
        </is>
      </c>
      <c r="M10" s="31" t="inlineStr">
        <is>
          <t>─</t>
        </is>
      </c>
      <c r="N10" s="31" t="inlineStr">
        <is>
          <t>─</t>
        </is>
      </c>
    </row>
    <row r="11">
      <c r="L11" s="31" t="inlineStr">
        <is>
          <t>│</t>
        </is>
      </c>
    </row>
    <row r="12" ht="50" customHeight="1">
      <c r="A12" s="29" t="n">
        <v>-2</v>
      </c>
      <c r="L12" s="30" t="inlineStr">
        <is>
          <t>锐利镐刃
250</t>
        </is>
      </c>
    </row>
    <row r="13">
      <c r="L13" s="31" t="inlineStr">
        <is>
          <t>│</t>
        </is>
      </c>
    </row>
    <row r="14" ht="50" customHeight="1">
      <c r="A14" s="29" t="n">
        <v>-1</v>
      </c>
      <c r="B14" s="32" t="inlineStr">
        <is>
          <t>─</t>
        </is>
      </c>
      <c r="C14" s="32" t="inlineStr">
        <is>
          <t>─</t>
        </is>
      </c>
      <c r="D14" s="33" t="inlineStr">
        <is>
          <t>岩层鉴价师
5,000</t>
        </is>
      </c>
      <c r="L14" s="30" t="inlineStr">
        <is>
          <t>淬火镐头
50</t>
        </is>
      </c>
      <c r="M14" s="34" t="inlineStr">
        <is>
          <t>─</t>
        </is>
      </c>
      <c r="N14" s="34" t="inlineStr">
        <is>
          <t>─</t>
        </is>
      </c>
      <c r="O14" s="34" t="inlineStr">
        <is>
          <t>─</t>
        </is>
      </c>
      <c r="P14" s="34" t="inlineStr">
        <is>
          <t>─</t>
        </is>
      </c>
      <c r="Q14" s="34" t="inlineStr">
        <is>
          <t>─</t>
        </is>
      </c>
      <c r="R14" s="35" t="inlineStr">
        <is>
          <t>大型矿脉
5,000</t>
        </is>
      </c>
      <c r="S14" s="36" t="inlineStr">
        <is>
          <t>─</t>
        </is>
      </c>
      <c r="T14" s="35" t="inlineStr">
        <is>
          <t>巨型矿脉
50,000</t>
        </is>
      </c>
      <c r="U14" s="36" t="inlineStr">
        <is>
          <t>─</t>
        </is>
      </c>
      <c r="V14" s="35" t="inlineStr">
        <is>
          <t>稀有聚焦
75,000</t>
        </is>
      </c>
    </row>
    <row r="15">
      <c r="B15" s="32" t="inlineStr">
        <is>
          <t>│</t>
        </is>
      </c>
      <c r="D15" s="32" t="inlineStr">
        <is>
          <t>│</t>
        </is>
      </c>
      <c r="L15" s="34" t="inlineStr">
        <is>
          <t>│</t>
        </is>
      </c>
      <c r="R15" s="36" t="inlineStr">
        <is>
          <t>│</t>
        </is>
      </c>
      <c r="V15" s="36" t="inlineStr">
        <is>
          <t>│</t>
        </is>
      </c>
    </row>
    <row r="16" ht="50" customHeight="1">
      <c r="A16" s="29" t="n">
        <v>0</v>
      </c>
      <c r="B16" s="33" t="inlineStr">
        <is>
          <t>黄金比例
300,000</t>
        </is>
      </c>
      <c r="D16" s="32" t="inlineStr">
        <is>
          <t>─</t>
        </is>
      </c>
      <c r="E16" s="32" t="inlineStr">
        <is>
          <t>─</t>
        </is>
      </c>
      <c r="F16" s="33" t="inlineStr">
        <is>
          <t>连续开采
500</t>
        </is>
      </c>
      <c r="G16" s="32" t="inlineStr">
        <is>
          <t>─</t>
        </is>
      </c>
      <c r="H16" s="33" t="inlineStr">
        <is>
          <t>手工精品
25</t>
        </is>
      </c>
      <c r="I16" s="34" t="inlineStr">
        <is>
          <t>─</t>
        </is>
      </c>
      <c r="J16" s="33" t="inlineStr">
        <is>
          <t>矿物鉴价
10</t>
        </is>
      </c>
      <c r="K16" s="34" t="inlineStr">
        <is>
          <t>─</t>
        </is>
      </c>
      <c r="L16" s="37" t="inlineStr">
        <is>
          <t>重置·升华
ACTION</t>
        </is>
      </c>
      <c r="M16" s="34" t="inlineStr">
        <is>
          <t>─</t>
        </is>
      </c>
      <c r="N16" s="35" t="inlineStr">
        <is>
          <t>发现黄金
250</t>
        </is>
      </c>
      <c r="O16" s="34" t="inlineStr">
        <is>
          <t>─</t>
        </is>
      </c>
      <c r="P16" s="35" t="inlineStr">
        <is>
          <t>水晶勘探
2,500</t>
        </is>
      </c>
      <c r="Q16" s="36" t="inlineStr">
        <is>
          <t>─</t>
        </is>
      </c>
      <c r="R16" s="35" t="inlineStr">
        <is>
          <t>黑曜层
12,000</t>
        </is>
      </c>
      <c r="S16" s="36" t="inlineStr">
        <is>
          <t>─</t>
        </is>
      </c>
      <c r="T16" s="35" t="inlineStr">
        <is>
          <t>钻石钻探
30,000</t>
        </is>
      </c>
      <c r="U16" s="36" t="inlineStr">
        <is>
          <t>─</t>
        </is>
      </c>
      <c r="V16" s="35" t="inlineStr">
        <is>
          <t>猫矿传说
250,000</t>
        </is>
      </c>
    </row>
    <row r="17">
      <c r="B17" s="32" t="inlineStr">
        <is>
          <t>│</t>
        </is>
      </c>
      <c r="D17" s="32" t="inlineStr">
        <is>
          <t>│</t>
        </is>
      </c>
      <c r="H17" s="34" t="inlineStr">
        <is>
          <t>│</t>
        </is>
      </c>
      <c r="L17" s="34" t="inlineStr">
        <is>
          <t>│</t>
        </is>
      </c>
    </row>
    <row r="18" ht="50" customHeight="1">
      <c r="A18" s="29" t="n">
        <v>1</v>
      </c>
      <c r="B18" s="32" t="inlineStr">
        <is>
          <t>─</t>
        </is>
      </c>
      <c r="C18" s="32" t="inlineStr">
        <is>
          <t>─</t>
        </is>
      </c>
      <c r="D18" s="33" t="inlineStr">
        <is>
          <t>纪录狂热
50,000</t>
        </is>
      </c>
      <c r="H18" s="34" t="inlineStr">
        <is>
          <t>│</t>
        </is>
      </c>
      <c r="J18" s="34" t="inlineStr">
        <is>
          <t>─</t>
        </is>
      </c>
      <c r="K18" s="34" t="inlineStr">
        <is>
          <t>─</t>
        </is>
      </c>
      <c r="L18" s="38" t="inlineStr">
        <is>
          <t>石质工程
300</t>
        </is>
      </c>
      <c r="M18" s="34" t="inlineStr">
        <is>
          <t>─</t>
        </is>
      </c>
      <c r="N18" s="34" t="inlineStr">
        <is>
          <t>─</t>
        </is>
      </c>
      <c r="O18" s="34" t="inlineStr">
        <is>
          <t>─</t>
        </is>
      </c>
      <c r="P18" s="34" t="inlineStr">
        <is>
          <t>─</t>
        </is>
      </c>
    </row>
    <row r="19">
      <c r="H19" s="34" t="inlineStr">
        <is>
          <t>│</t>
        </is>
      </c>
      <c r="J19" s="34" t="inlineStr">
        <is>
          <t>│</t>
        </is>
      </c>
      <c r="L19" s="34" t="inlineStr">
        <is>
          <t>│</t>
        </is>
      </c>
      <c r="N19" s="34" t="inlineStr">
        <is>
          <t>│</t>
        </is>
      </c>
      <c r="P19" s="34" t="inlineStr">
        <is>
          <t>│</t>
        </is>
      </c>
    </row>
    <row r="20" ht="50" customHeight="1">
      <c r="A20" s="29" t="n">
        <v>2</v>
      </c>
      <c r="H20" s="34" t="inlineStr">
        <is>
          <t>─</t>
        </is>
      </c>
      <c r="I20" s="34" t="inlineStr">
        <is>
          <t>─</t>
        </is>
      </c>
      <c r="J20" s="38" t="inlineStr">
        <is>
          <t>水域工程
500</t>
        </is>
      </c>
      <c r="K20" s="34" t="inlineStr">
        <is>
          <t>─</t>
        </is>
      </c>
      <c r="L20" s="34" t="inlineStr">
        <is>
          <t>─</t>
        </is>
      </c>
      <c r="M20" s="34" t="inlineStr">
        <is>
          <t>─</t>
        </is>
      </c>
      <c r="N20" s="38" t="inlineStr">
        <is>
          <t>熔岩工程
2,000</t>
        </is>
      </c>
      <c r="O20" s="34" t="inlineStr">
        <is>
          <t>─</t>
        </is>
      </c>
      <c r="P20" s="34" t="inlineStr">
        <is>
          <t>─</t>
        </is>
      </c>
    </row>
    <row r="21">
      <c r="H21" s="34" t="inlineStr">
        <is>
          <t>│</t>
        </is>
      </c>
      <c r="J21" s="34" t="inlineStr">
        <is>
          <t>│</t>
        </is>
      </c>
      <c r="L21" s="34" t="inlineStr">
        <is>
          <t>│</t>
        </is>
      </c>
      <c r="P21" s="34" t="inlineStr">
        <is>
          <t>│</t>
        </is>
      </c>
    </row>
    <row r="22" ht="50" customHeight="1">
      <c r="A22" s="29" t="n">
        <v>3</v>
      </c>
      <c r="H22" s="38" t="inlineStr">
        <is>
          <t>磁吸工程
5,000</t>
        </is>
      </c>
      <c r="I22" s="34" t="inlineStr">
        <is>
          <t>─</t>
        </is>
      </c>
      <c r="J22" s="34" t="inlineStr">
        <is>
          <t>─</t>
        </is>
      </c>
      <c r="K22" s="34" t="inlineStr">
        <is>
          <t>─</t>
        </is>
      </c>
      <c r="L22" s="38" t="inlineStr">
        <is>
          <t>输送工程
5,000</t>
        </is>
      </c>
      <c r="N22" s="34" t="inlineStr">
        <is>
          <t>─</t>
        </is>
      </c>
      <c r="O22" s="34" t="inlineStr">
        <is>
          <t>─</t>
        </is>
      </c>
      <c r="P22" s="38" t="inlineStr">
        <is>
          <t>稳定火山
150,000</t>
        </is>
      </c>
    </row>
    <row r="23">
      <c r="H23" s="34" t="inlineStr">
        <is>
          <t>│</t>
        </is>
      </c>
      <c r="J23" s="34" t="inlineStr">
        <is>
          <t>│</t>
        </is>
      </c>
      <c r="L23" s="34" t="inlineStr">
        <is>
          <t>│</t>
        </is>
      </c>
      <c r="N23" s="34" t="inlineStr">
        <is>
          <t>│</t>
        </is>
      </c>
      <c r="P23" s="34" t="inlineStr">
        <is>
          <t>│</t>
        </is>
      </c>
    </row>
    <row r="24" ht="50" customHeight="1">
      <c r="A24" s="29" t="n">
        <v>4</v>
      </c>
      <c r="H24" s="38" t="inlineStr">
        <is>
          <t>水晶矿脉
15,000</t>
        </is>
      </c>
      <c r="I24" s="34" t="inlineStr">
        <is>
          <t>─</t>
        </is>
      </c>
      <c r="J24" s="34" t="inlineStr">
        <is>
          <t>─</t>
        </is>
      </c>
      <c r="K24" s="34" t="inlineStr">
        <is>
          <t>─</t>
        </is>
      </c>
      <c r="L24" s="38" t="inlineStr">
        <is>
          <t>升级台
30,000</t>
        </is>
      </c>
      <c r="N24" s="34" t="inlineStr">
        <is>
          <t>│</t>
        </is>
      </c>
      <c r="P24" s="38" t="inlineStr">
        <is>
          <t>高温燃烧
8,000</t>
        </is>
      </c>
    </row>
    <row r="25">
      <c r="H25" s="34" t="inlineStr">
        <is>
          <t>│</t>
        </is>
      </c>
      <c r="J25" s="34" t="inlineStr">
        <is>
          <t>│</t>
        </is>
      </c>
      <c r="L25" s="34" t="inlineStr">
        <is>
          <t>│</t>
        </is>
      </c>
      <c r="N25" s="34" t="inlineStr">
        <is>
          <t>│</t>
        </is>
      </c>
      <c r="P25" s="34" t="inlineStr">
        <is>
          <t>│</t>
        </is>
      </c>
    </row>
    <row r="26" ht="50" customHeight="1">
      <c r="A26" s="29" t="n">
        <v>5</v>
      </c>
      <c r="H26" s="38" t="inlineStr">
        <is>
          <t>沉底打捞
8,000</t>
        </is>
      </c>
      <c r="J26" s="34" t="inlineStr">
        <is>
          <t>│</t>
        </is>
      </c>
      <c r="L26" s="38" t="inlineStr">
        <is>
          <t>稀有矿脉
75,000</t>
        </is>
      </c>
      <c r="M26" s="34" t="inlineStr">
        <is>
          <t>─</t>
        </is>
      </c>
      <c r="N26" s="34" t="inlineStr">
        <is>
          <t>─</t>
        </is>
      </c>
      <c r="P26" s="38" t="inlineStr">
        <is>
          <t>精炼岩床
12,000</t>
        </is>
      </c>
    </row>
    <row r="27">
      <c r="J27" s="34" t="inlineStr">
        <is>
          <t>│</t>
        </is>
      </c>
      <c r="N27" s="34" t="inlineStr">
        <is>
          <t>│</t>
        </is>
      </c>
    </row>
    <row r="28" ht="50" customHeight="1">
      <c r="A28" s="29" t="n">
        <v>6</v>
      </c>
      <c r="J28" s="38" t="inlineStr">
        <is>
          <t>坚韧草根
3,000</t>
        </is>
      </c>
      <c r="N28" s="38" t="inlineStr">
        <is>
          <t>自动化网络
300,000</t>
        </is>
      </c>
    </row>
    <row r="32" ht="30" customHeight="1">
      <c r="A32" s="28" t="inlineStr">
        <is>
          <t>Advanced · 永久天赋</t>
        </is>
      </c>
    </row>
    <row r="33">
      <c r="B33" s="29" t="n">
        <v>-2</v>
      </c>
      <c r="D33" s="29" t="n">
        <v>-1</v>
      </c>
      <c r="F33" s="29" t="n">
        <v>0</v>
      </c>
      <c r="H33" s="29" t="n">
        <v>1</v>
      </c>
      <c r="J33" s="29" t="n">
        <v>2</v>
      </c>
    </row>
    <row r="34" ht="50" customHeight="1">
      <c r="A34" s="29" t="n">
        <v>-4</v>
      </c>
      <c r="D34" s="39" t="inlineStr">
        <is>
          <t>永久记忆 II
100</t>
        </is>
      </c>
      <c r="H34" s="39" t="inlineStr">
        <is>
          <t>永续自动化
250</t>
        </is>
      </c>
    </row>
    <row r="35">
      <c r="D35" s="40" t="inlineStr">
        <is>
          <t>│</t>
        </is>
      </c>
      <c r="H35" s="40" t="inlineStr">
        <is>
          <t>│</t>
        </is>
      </c>
    </row>
    <row r="36" ht="50" customHeight="1">
      <c r="A36" s="29" t="n">
        <v>-3</v>
      </c>
      <c r="B36" s="39" t="inlineStr">
        <is>
          <t>地质协同
25</t>
        </is>
      </c>
      <c r="C36" s="40" t="inlineStr">
        <is>
          <t>─</t>
        </is>
      </c>
      <c r="D36" s="40" t="inlineStr">
        <is>
          <t>─</t>
        </is>
      </c>
      <c r="E36" s="40" t="inlineStr">
        <is>
          <t>─</t>
        </is>
      </c>
      <c r="F36" s="39" t="inlineStr">
        <is>
          <t>黄金矿脉事件
50</t>
        </is>
      </c>
      <c r="G36" s="40" t="inlineStr">
        <is>
          <t>─</t>
        </is>
      </c>
      <c r="H36" s="40" t="inlineStr">
        <is>
          <t>─</t>
        </is>
      </c>
    </row>
    <row r="37">
      <c r="B37" s="40" t="inlineStr">
        <is>
          <t>│</t>
        </is>
      </c>
      <c r="F37" s="40" t="inlineStr">
        <is>
          <t>│</t>
        </is>
      </c>
    </row>
    <row r="38" ht="50" customHeight="1">
      <c r="A38" s="29" t="n">
        <v>-2</v>
      </c>
      <c r="B38" s="39" t="inlineStr">
        <is>
          <t>永久记忆 I
5</t>
        </is>
      </c>
      <c r="F38" s="39" t="inlineStr">
        <is>
          <t>自动镐
10</t>
        </is>
      </c>
      <c r="G38" s="40" t="inlineStr">
        <is>
          <t>─</t>
        </is>
      </c>
      <c r="H38" s="40" t="inlineStr">
        <is>
          <t>─</t>
        </is>
      </c>
      <c r="I38" s="40" t="inlineStr">
        <is>
          <t>─</t>
        </is>
      </c>
      <c r="J38" s="39" t="inlineStr">
        <is>
          <t>离线远征
15</t>
        </is>
      </c>
    </row>
    <row r="39">
      <c r="B39" s="40" t="inlineStr">
        <is>
          <t>│</t>
        </is>
      </c>
      <c r="F39" s="40" t="inlineStr">
        <is>
          <t>│</t>
        </is>
      </c>
      <c r="J39" s="40" t="inlineStr">
        <is>
          <t>│</t>
        </is>
      </c>
    </row>
    <row r="40" ht="50" customHeight="1">
      <c r="A40" s="29" t="n">
        <v>-1</v>
      </c>
      <c r="B40" s="40" t="inlineStr">
        <is>
          <t>─</t>
        </is>
      </c>
      <c r="C40" s="40" t="inlineStr">
        <is>
          <t>─</t>
        </is>
      </c>
      <c r="D40" s="39" t="inlineStr">
        <is>
          <t>祖传零钱
1</t>
        </is>
      </c>
      <c r="E40" s="40" t="inlineStr">
        <is>
          <t>─</t>
        </is>
      </c>
      <c r="F40" s="40" t="inlineStr">
        <is>
          <t>─</t>
        </is>
      </c>
      <c r="G40" s="40" t="inlineStr">
        <is>
          <t>─</t>
        </is>
      </c>
      <c r="H40" s="39" t="inlineStr">
        <is>
          <t>深口袋
3</t>
        </is>
      </c>
      <c r="I40" s="40" t="inlineStr">
        <is>
          <t>─</t>
        </is>
      </c>
      <c r="J40" s="40" t="inlineStr">
        <is>
          <t>─</t>
        </is>
      </c>
    </row>
    <row r="41">
      <c r="D41" s="40" t="inlineStr">
        <is>
          <t>│</t>
        </is>
      </c>
      <c r="H41" s="40" t="inlineStr">
        <is>
          <t>│</t>
        </is>
      </c>
    </row>
    <row r="42">
      <c r="A42" s="29" t="n">
        <v>0</v>
      </c>
      <c r="D42" s="40" t="inlineStr">
        <is>
          <t>─</t>
        </is>
      </c>
      <c r="E42" s="40" t="inlineStr">
        <is>
          <t>─</t>
        </is>
      </c>
      <c r="F42" s="37" t="inlineStr">
        <is>
          <t>重置·升华
ACTION</t>
        </is>
      </c>
      <c r="G42" s="40" t="inlineStr">
        <is>
          <t>─</t>
        </is>
      </c>
      <c r="H42" s="40" t="inlineStr">
        <is>
          <t>─</t>
        </is>
      </c>
    </row>
    <row r="55">
      <c r="A55" s="41" t="inlineStr">
        <is>
          <t>图例</t>
        </is>
      </c>
      <c r="B55" s="42" t="inlineStr">
        <is>
          <t>镐子</t>
        </is>
      </c>
      <c r="C55" s="43" t="inlineStr">
        <is>
          <t>金币</t>
        </is>
      </c>
      <c r="D55" s="44" t="inlineStr">
        <is>
          <t>矿石</t>
        </is>
      </c>
      <c r="E55" s="45" t="inlineStr">
        <is>
          <t>地块</t>
        </is>
      </c>
      <c r="F55" s="46" t="inlineStr">
        <is>
          <t>升华</t>
        </is>
      </c>
    </row>
  </sheetData>
  <mergeCells count="2">
    <mergeCell ref="A32:K32"/>
    <mergeCell ref="A4:W4"/>
  </mergeCells>
  <hyperlinks>
    <hyperlink xmlns:r="http://schemas.openxmlformats.org/officeDocument/2006/relationships" ref="J6" r:id="rId1"/>
    <hyperlink xmlns:r="http://schemas.openxmlformats.org/officeDocument/2006/relationships" ref="N6" r:id="rId2"/>
    <hyperlink xmlns:r="http://schemas.openxmlformats.org/officeDocument/2006/relationships" ref="J8" r:id="rId3"/>
    <hyperlink xmlns:r="http://schemas.openxmlformats.org/officeDocument/2006/relationships" ref="N8" r:id="rId4"/>
    <hyperlink xmlns:r="http://schemas.openxmlformats.org/officeDocument/2006/relationships" ref="L10" r:id="rId5"/>
    <hyperlink xmlns:r="http://schemas.openxmlformats.org/officeDocument/2006/relationships" ref="L12" r:id="rId6"/>
    <hyperlink xmlns:r="http://schemas.openxmlformats.org/officeDocument/2006/relationships" ref="D14" r:id="rId7"/>
    <hyperlink xmlns:r="http://schemas.openxmlformats.org/officeDocument/2006/relationships" ref="L14" r:id="rId8"/>
    <hyperlink xmlns:r="http://schemas.openxmlformats.org/officeDocument/2006/relationships" ref="R14" r:id="rId9"/>
    <hyperlink xmlns:r="http://schemas.openxmlformats.org/officeDocument/2006/relationships" ref="T14" r:id="rId10"/>
    <hyperlink xmlns:r="http://schemas.openxmlformats.org/officeDocument/2006/relationships" ref="V14" r:id="rId11"/>
    <hyperlink xmlns:r="http://schemas.openxmlformats.org/officeDocument/2006/relationships" ref="B16" r:id="rId12"/>
    <hyperlink xmlns:r="http://schemas.openxmlformats.org/officeDocument/2006/relationships" ref="F16" r:id="rId13"/>
    <hyperlink xmlns:r="http://schemas.openxmlformats.org/officeDocument/2006/relationships" ref="H16" r:id="rId14"/>
    <hyperlink xmlns:r="http://schemas.openxmlformats.org/officeDocument/2006/relationships" ref="J16" r:id="rId15"/>
    <hyperlink xmlns:r="http://schemas.openxmlformats.org/officeDocument/2006/relationships" ref="N16" r:id="rId16"/>
    <hyperlink xmlns:r="http://schemas.openxmlformats.org/officeDocument/2006/relationships" ref="P16" r:id="rId17"/>
    <hyperlink xmlns:r="http://schemas.openxmlformats.org/officeDocument/2006/relationships" ref="R16" r:id="rId18"/>
    <hyperlink xmlns:r="http://schemas.openxmlformats.org/officeDocument/2006/relationships" ref="T16" r:id="rId19"/>
    <hyperlink xmlns:r="http://schemas.openxmlformats.org/officeDocument/2006/relationships" ref="V16" r:id="rId20"/>
    <hyperlink xmlns:r="http://schemas.openxmlformats.org/officeDocument/2006/relationships" ref="D18" r:id="rId21"/>
    <hyperlink xmlns:r="http://schemas.openxmlformats.org/officeDocument/2006/relationships" ref="L18" r:id="rId22"/>
    <hyperlink xmlns:r="http://schemas.openxmlformats.org/officeDocument/2006/relationships" ref="J20" r:id="rId23"/>
    <hyperlink xmlns:r="http://schemas.openxmlformats.org/officeDocument/2006/relationships" ref="N20" r:id="rId24"/>
    <hyperlink xmlns:r="http://schemas.openxmlformats.org/officeDocument/2006/relationships" ref="H22" r:id="rId25"/>
    <hyperlink xmlns:r="http://schemas.openxmlformats.org/officeDocument/2006/relationships" ref="L22" r:id="rId26"/>
    <hyperlink xmlns:r="http://schemas.openxmlformats.org/officeDocument/2006/relationships" ref="P22" r:id="rId27"/>
    <hyperlink xmlns:r="http://schemas.openxmlformats.org/officeDocument/2006/relationships" ref="H24" r:id="rId28"/>
    <hyperlink xmlns:r="http://schemas.openxmlformats.org/officeDocument/2006/relationships" ref="L24" r:id="rId29"/>
    <hyperlink xmlns:r="http://schemas.openxmlformats.org/officeDocument/2006/relationships" ref="P24" r:id="rId30"/>
    <hyperlink xmlns:r="http://schemas.openxmlformats.org/officeDocument/2006/relationships" ref="H26" r:id="rId31"/>
    <hyperlink xmlns:r="http://schemas.openxmlformats.org/officeDocument/2006/relationships" ref="L26" r:id="rId32"/>
    <hyperlink xmlns:r="http://schemas.openxmlformats.org/officeDocument/2006/relationships" ref="P26" r:id="rId33"/>
    <hyperlink xmlns:r="http://schemas.openxmlformats.org/officeDocument/2006/relationships" ref="J28" r:id="rId34"/>
    <hyperlink xmlns:r="http://schemas.openxmlformats.org/officeDocument/2006/relationships" ref="N28" r:id="rId35"/>
    <hyperlink xmlns:r="http://schemas.openxmlformats.org/officeDocument/2006/relationships" ref="D34" r:id="rId36"/>
    <hyperlink xmlns:r="http://schemas.openxmlformats.org/officeDocument/2006/relationships" ref="H34" r:id="rId37"/>
    <hyperlink xmlns:r="http://schemas.openxmlformats.org/officeDocument/2006/relationships" ref="B36" r:id="rId38"/>
    <hyperlink xmlns:r="http://schemas.openxmlformats.org/officeDocument/2006/relationships" ref="F36" r:id="rId39"/>
    <hyperlink xmlns:r="http://schemas.openxmlformats.org/officeDocument/2006/relationships" ref="B38" r:id="rId40"/>
    <hyperlink xmlns:r="http://schemas.openxmlformats.org/officeDocument/2006/relationships" ref="F38" r:id="rId41"/>
    <hyperlink xmlns:r="http://schemas.openxmlformats.org/officeDocument/2006/relationships" ref="J38" r:id="rId42"/>
    <hyperlink xmlns:r="http://schemas.openxmlformats.org/officeDocument/2006/relationships" ref="D40" r:id="rId43"/>
    <hyperlink xmlns:r="http://schemas.openxmlformats.org/officeDocument/2006/relationships" ref="H40" r:id="rId4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9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Balance Lab · 数值与回本</t>
        </is>
      </c>
    </row>
    <row r="2" ht="30" customHeight="1">
      <c r="A2" s="2" t="inlineStr">
        <is>
          <t>黄色单元格为输入；蓝色单元格为公式。Excel/WPS打开时自动重算。</t>
        </is>
      </c>
    </row>
    <row r="3" ht="34" customHeight="1">
      <c r="A3" s="4" t="inlineStr">
        <is>
          <t>参数</t>
        </is>
      </c>
      <c r="B3" s="4" t="inlineStr">
        <is>
          <t>值</t>
        </is>
      </c>
      <c r="C3" s="4" t="inlineStr">
        <is>
          <t>说明</t>
        </is>
      </c>
      <c r="D3" s="4" t="inlineStr">
        <is>
          <t>Tier</t>
        </is>
      </c>
      <c r="E3" s="4" t="inlineStr">
        <is>
          <t>该阶段假设CPS</t>
        </is>
      </c>
      <c r="F3" s="4" t="inlineStr">
        <is>
          <t>用途</t>
        </is>
      </c>
      <c r="G3" s="47" t="inlineStr">
        <is>
          <t>金币里程碑耗时</t>
        </is>
      </c>
    </row>
    <row r="4" ht="34" customHeight="1">
      <c r="A4" s="6" t="inlineStr">
        <is>
          <t>自动落矿间隔（秒）</t>
        </is>
      </c>
      <c r="B4" s="48" t="n">
        <v>2</v>
      </c>
      <c r="C4" s="6" t="inlineStr">
        <is>
          <t>当前GameManager默认每2秒尝试落1矿。</t>
        </is>
      </c>
      <c r="D4" s="6" t="n">
        <v>1</v>
      </c>
      <c r="E4" s="49">
        <f>$B$7</f>
        <v/>
      </c>
      <c r="F4" s="6" t="inlineStr">
        <is>
          <t>Basic表简单百分比天赋的ROI估算；应被实机遥测替换。</t>
        </is>
      </c>
      <c r="G4" s="4" t="inlineStr">
        <is>
          <t>里程碑</t>
        </is>
      </c>
      <c r="H4" s="4" t="inlineStr">
        <is>
          <t>V2初始理论秒</t>
        </is>
      </c>
      <c r="I4" s="4" t="inlineStr">
        <is>
          <t>当前全池理论秒</t>
        </is>
      </c>
      <c r="J4" s="4" t="inlineStr">
        <is>
          <t>V2初始可读时间</t>
        </is>
      </c>
    </row>
    <row r="5" ht="30" customHeight="1">
      <c r="A5" s="6" t="inlineStr">
        <is>
          <t>V2初始矿池期望价值/次</t>
        </is>
      </c>
      <c r="B5" s="50">
        <f>SUMPRODUCT((Content_Catalog!$A$5:$A$12="ORE")*(Content_Catalog!$I$5:$I$12="是")*Content_Catalog!$N$5:$N$12*Content_Catalog!$F$5:$F$12)/SUMPRODUCT((Content_Catalog!$A$5:$A$12="ORE")*(Content_Catalog!$I$5:$I$12="是")*Content_Catalog!$F$5:$F$12)</f>
        <v/>
      </c>
      <c r="C5" s="6" t="inlineStr">
        <is>
          <t>coal/iron/zinc按V2建议价值与生成权重加权。</t>
        </is>
      </c>
      <c r="D5" s="6" t="n">
        <v>2</v>
      </c>
      <c r="E5" s="51" t="n">
        <v>2</v>
      </c>
      <c r="F5" s="6" t="inlineStr">
        <is>
          <t>Basic表简单百分比天赋的ROI估算；应被实机遥测替换。</t>
        </is>
      </c>
      <c r="G5" s="52" t="n">
        <v>100</v>
      </c>
      <c r="H5" s="53">
        <f>G5/$B$7</f>
        <v/>
      </c>
      <c r="I5" s="53">
        <f>G5/$B$8</f>
        <v/>
      </c>
      <c r="J5" s="54">
        <f>IF(H5&lt;60,TEXT(H5,"0.0")&amp;"秒",IF(H5&lt;3600,TEXT(H5/60,"0.0")&amp;"分钟",IF(H5&lt;86400,TEXT(H5/3600,"0.0")&amp;"小时",TEXT(H5/31557600,"0.00")&amp;"年")))</f>
        <v/>
      </c>
    </row>
    <row r="6" ht="30" customHeight="1">
      <c r="A6" s="6" t="inlineStr">
        <is>
          <t>当前全部矿池期望价值/次</t>
        </is>
      </c>
      <c r="B6" s="50">
        <f>SUMPRODUCT(Content_Catalog!$E$5:$E$12,Content_Catalog!$F$5:$F$12)/SUM(Content_Catalog!$F$5:$F$12)</f>
        <v/>
      </c>
      <c r="C6" s="6" t="inlineStr">
        <is>
          <t>仓库当前全部8矿从开局进入随机池。</t>
        </is>
      </c>
      <c r="D6" s="6" t="n">
        <v>3</v>
      </c>
      <c r="E6" s="51" t="n">
        <v>6</v>
      </c>
      <c r="F6" s="6" t="inlineStr">
        <is>
          <t>Basic表简单百分比天赋的ROI估算；应被实机遥测替换。</t>
        </is>
      </c>
      <c r="G6" s="52" t="n">
        <v>1000</v>
      </c>
      <c r="H6" s="53">
        <f>G6/$B$7</f>
        <v/>
      </c>
      <c r="I6" s="53">
        <f>G6/$B$8</f>
        <v/>
      </c>
      <c r="J6" s="54">
        <f>IF(H6&lt;60,TEXT(H6,"0.0")&amp;"秒",IF(H6&lt;3600,TEXT(H6/60,"0.0")&amp;"分钟",IF(H6&lt;86400,TEXT(H6/3600,"0.0")&amp;"小时",TEXT(H6/31557600,"0.00")&amp;"年")))</f>
        <v/>
      </c>
    </row>
    <row r="7" ht="30" customHeight="1">
      <c r="A7" s="6" t="inlineStr">
        <is>
          <t>V2初始理论最大CPS</t>
        </is>
      </c>
      <c r="B7" s="50">
        <f>B5/B4</f>
        <v/>
      </c>
      <c r="C7" s="6" t="inlineStr">
        <is>
          <t>假设矿物立即清除；实际值会更低。</t>
        </is>
      </c>
      <c r="D7" s="6" t="n">
        <v>4</v>
      </c>
      <c r="E7" s="51" t="n">
        <v>26</v>
      </c>
      <c r="F7" s="6" t="inlineStr">
        <is>
          <t>Basic表简单百分比天赋的ROI估算；应被实机遥测替换。</t>
        </is>
      </c>
      <c r="G7" s="52" t="n">
        <v>10000</v>
      </c>
      <c r="H7" s="53">
        <f>G7/$B$7</f>
        <v/>
      </c>
      <c r="I7" s="53">
        <f>G7/$B$8</f>
        <v/>
      </c>
      <c r="J7" s="54">
        <f>IF(H7&lt;60,TEXT(H7,"0.0")&amp;"秒",IF(H7&lt;3600,TEXT(H7/60,"0.0")&amp;"分钟",IF(H7&lt;86400,TEXT(H7/3600,"0.0")&amp;"小时",TEXT(H7/31557600,"0.00")&amp;"年")))</f>
        <v/>
      </c>
    </row>
    <row r="8" ht="30" customHeight="1">
      <c r="A8" s="6" t="inlineStr">
        <is>
          <t>当前全部矿理论最大CPS</t>
        </is>
      </c>
      <c r="B8" s="50">
        <f>B6/B4</f>
        <v/>
      </c>
      <c r="C8" s="6" t="inlineStr">
        <is>
          <t>用于对照旧设计。</t>
        </is>
      </c>
      <c r="D8" s="6" t="n">
        <v>5</v>
      </c>
      <c r="E8" s="51" t="n">
        <v>500</v>
      </c>
      <c r="F8" s="6" t="inlineStr">
        <is>
          <t>Basic表简单百分比天赋的ROI估算；应被实机遥测替换。</t>
        </is>
      </c>
      <c r="G8" s="52" t="n">
        <v>100000</v>
      </c>
      <c r="H8" s="53">
        <f>G8/$B$7</f>
        <v/>
      </c>
      <c r="I8" s="53">
        <f>G8/$B$8</f>
        <v/>
      </c>
      <c r="J8" s="54">
        <f>IF(H8&lt;60,TEXT(H8,"0.0")&amp;"秒",IF(H8&lt;3600,TEXT(H8/60,"0.0")&amp;"分钟",IF(H8&lt;86400,TEXT(H8/3600,"0.0")&amp;"小时",TEXT(H8/31557600,"0.00")&amp;"年")))</f>
        <v/>
      </c>
    </row>
    <row r="9" ht="30" customHeight="1">
      <c r="A9" s="6" t="inlineStr">
        <is>
          <t>手动击杀收益占比</t>
        </is>
      </c>
      <c r="B9" s="55" t="n">
        <v>0.7</v>
      </c>
      <c r="C9" s="6" t="inlineStr">
        <is>
          <t>用于估算手工精品；需用遥测替换。</t>
        </is>
      </c>
      <c r="D9" s="6" t="n">
        <v>6</v>
      </c>
      <c r="E9" s="51" t="n">
        <v>1000</v>
      </c>
      <c r="F9" s="6" t="inlineStr">
        <is>
          <t>Basic表简单百分比天赋的ROI估算；应被实机遥测替换。</t>
        </is>
      </c>
      <c r="G9" s="52" t="n">
        <v>1000000</v>
      </c>
      <c r="H9" s="53">
        <f>G9/$B$7</f>
        <v/>
      </c>
      <c r="I9" s="53">
        <f>G9/$B$8</f>
        <v/>
      </c>
      <c r="J9" s="54">
        <f>IF(H9&lt;60,TEXT(H9,"0.0")&amp;"秒",IF(H9&lt;3600,TEXT(H9/60,"0.0")&amp;"分钟",IF(H9&lt;86400,TEXT(H9/3600,"0.0")&amp;"小时",TEXT(H9/31557600,"0.00")&amp;"年")))</f>
        <v/>
      </c>
    </row>
    <row r="10" ht="30" customHeight="1">
      <c r="A10" s="6" t="inlineStr">
        <is>
          <t>早期目标回本秒</t>
        </is>
      </c>
      <c r="B10" s="56" t="n">
        <v>90</v>
      </c>
      <c r="C10" s="6" t="inlineStr">
        <is>
          <t>Tier 1~2。</t>
        </is>
      </c>
      <c r="G10" s="52" t="n">
        <v>1000000000</v>
      </c>
      <c r="H10" s="53">
        <f>G10/$B$7</f>
        <v/>
      </c>
      <c r="I10" s="53">
        <f>G10/$B$8</f>
        <v/>
      </c>
      <c r="J10" s="54">
        <f>IF(H10&lt;60,TEXT(H10,"0.0")&amp;"秒",IF(H10&lt;3600,TEXT(H10/60,"0.0")&amp;"分钟",IF(H10&lt;86400,TEXT(H10/3600,"0.0")&amp;"小时",TEXT(H10/31557600,"0.00")&amp;"年")))</f>
        <v/>
      </c>
    </row>
    <row r="11" ht="30" customHeight="1">
      <c r="A11" s="6" t="inlineStr">
        <is>
          <t>中期目标回本秒</t>
        </is>
      </c>
      <c r="B11" s="56" t="n">
        <v>300</v>
      </c>
      <c r="C11" s="6" t="inlineStr">
        <is>
          <t>Tier 3~4。</t>
        </is>
      </c>
    </row>
    <row r="12" ht="30" customHeight="1">
      <c r="A12" s="6" t="inlineStr">
        <is>
          <t>里程碑目标回本秒</t>
        </is>
      </c>
      <c r="B12" s="56" t="n">
        <v>600</v>
      </c>
      <c r="C12" s="6" t="inlineStr">
        <is>
          <t>Tier 5以上；内容解锁可不使用直接ROI。</t>
        </is>
      </c>
      <c r="G12" s="7" t="inlineStr">
        <is>
          <t>升华公式样例</t>
        </is>
      </c>
    </row>
    <row r="13" ht="34" customHeight="1">
      <c r="A13" s="6" t="inlineStr">
        <is>
          <t>首次升华门槛 C</t>
        </is>
      </c>
      <c r="B13" s="56" t="n">
        <v>1000000</v>
      </c>
      <c r="C13" s="6" t="inlineStr">
        <is>
          <t>偏长线版本；30~60分钟首轮可改为100000。</t>
        </is>
      </c>
      <c r="G13" s="4" t="inlineStr">
        <is>
          <t>L/C</t>
        </is>
      </c>
      <c r="H13" s="4" t="inlineStr">
        <is>
          <t>终身金币</t>
        </is>
      </c>
      <c r="I13" s="4" t="inlineStr">
        <is>
          <t>计算点数</t>
        </is>
      </c>
      <c r="J13" s="4" t="inlineStr">
        <is>
          <t>期望点数</t>
        </is>
      </c>
      <c r="K13" s="4" t="inlineStr">
        <is>
          <t>通过</t>
        </is>
      </c>
      <c r="L13" s="4" t="inlineStr">
        <is>
          <t>永久倍率</t>
        </is>
      </c>
    </row>
    <row r="14" ht="30" customHeight="1">
      <c r="A14" s="6" t="inlineStr">
        <is>
          <t>终身金币 L（测试输入）</t>
        </is>
      </c>
      <c r="B14" s="56" t="n">
        <v>1000000</v>
      </c>
      <c r="C14" s="6" t="inlineStr">
        <is>
          <t>修改以测试升华收益。</t>
        </is>
      </c>
      <c r="G14" s="54" t="n">
        <v>0.999999</v>
      </c>
      <c r="H14" s="52">
        <f>G14*$B$13</f>
        <v/>
      </c>
      <c r="I14" s="54">
        <f>IF(H14&lt;$B$13,0,INT(ROUND(10*POWER(H14/$B$13,1/3),9)))</f>
        <v/>
      </c>
      <c r="J14" s="54" t="n">
        <v>0</v>
      </c>
      <c r="K14" s="54">
        <f>IF(I14=J14,"PASS","CHECK")</f>
        <v/>
      </c>
      <c r="L14" s="57">
        <f>1+I14*1%</f>
        <v/>
      </c>
    </row>
    <row r="15" ht="30" customHeight="1">
      <c r="A15" s="6" t="inlineStr">
        <is>
          <t>历史已获得升华点</t>
        </is>
      </c>
      <c r="B15" s="56" t="n">
        <v>0</v>
      </c>
      <c r="C15" s="6" t="inlineStr">
        <is>
          <t>注意不是当前未消费点。</t>
        </is>
      </c>
      <c r="G15" s="54" t="n">
        <v>1</v>
      </c>
      <c r="H15" s="52">
        <f>G15*$B$13</f>
        <v/>
      </c>
      <c r="I15" s="54">
        <f>IF(H15&lt;$B$13,0,INT(ROUND(10*POWER(H15/$B$13,1/3),9)))</f>
        <v/>
      </c>
      <c r="J15" s="54" t="n">
        <v>10</v>
      </c>
      <c r="K15" s="54">
        <f>IF(I15=J15,"PASS","CHECK")</f>
        <v/>
      </c>
      <c r="L15" s="57">
        <f>1+I15*1%</f>
        <v/>
      </c>
    </row>
    <row r="16" ht="30" customHeight="1">
      <c r="A16" s="6" t="inlineStr">
        <is>
          <t>总升华点</t>
        </is>
      </c>
      <c r="B16" s="58">
        <f>IF(B14&lt;B13,0,INT(ROUND(10*POWER(B14/B13,1/3),9)))</f>
        <v/>
      </c>
      <c r="C16" s="6" t="inlineStr">
        <is>
          <t>L&lt;C时0；否则floor(10×立方根(L/C))；ROUND保护立方边界。</t>
        </is>
      </c>
      <c r="G16" s="54" t="n">
        <v>1.330999</v>
      </c>
      <c r="H16" s="52">
        <f>G16*$B$13</f>
        <v/>
      </c>
      <c r="I16" s="54">
        <f>IF(H16&lt;$B$13,0,INT(ROUND(10*POWER(H16/$B$13,1/3),9)))</f>
        <v/>
      </c>
      <c r="J16" s="54" t="n">
        <v>10</v>
      </c>
      <c r="K16" s="54">
        <f>IF(I16=J16,"PASS","CHECK")</f>
        <v/>
      </c>
      <c r="L16" s="57">
        <f>1+I16*1%</f>
        <v/>
      </c>
    </row>
    <row r="17" ht="30" customHeight="1">
      <c r="A17" s="6" t="inlineStr">
        <is>
          <t>本次可获得升华点</t>
        </is>
      </c>
      <c r="B17" s="58">
        <f>MAX(0,B16-B15)</f>
        <v/>
      </c>
      <c r="C17" s="6" t="inlineStr">
        <is>
          <t>总点数减历史已获得点数。</t>
        </is>
      </c>
      <c r="G17" s="54" t="n">
        <v>1.331</v>
      </c>
      <c r="H17" s="52">
        <f>G17*$B$13</f>
        <v/>
      </c>
      <c r="I17" s="54">
        <f>IF(H17&lt;$B$13,0,INT(ROUND(10*POWER(H17/$B$13,1/3),9)))</f>
        <v/>
      </c>
      <c r="J17" s="54" t="n">
        <v>11</v>
      </c>
      <c r="K17" s="54">
        <f>IF(I17=J17,"PASS","CHECK")</f>
        <v/>
      </c>
      <c r="L17" s="57">
        <f>1+I17*1%</f>
        <v/>
      </c>
    </row>
    <row r="18" ht="30" customHeight="1">
      <c r="A18" s="6" t="inlineStr">
        <is>
          <t>基础Prestige倍率</t>
        </is>
      </c>
      <c r="B18" s="59">
        <f>1+B16*1%</f>
        <v/>
      </c>
      <c r="C18" s="6" t="inlineStr">
        <is>
          <t>消费点数不降低该倍率。</t>
        </is>
      </c>
      <c r="G18" s="54" t="n">
        <v>1.727999</v>
      </c>
      <c r="H18" s="52">
        <f>G18*$B$13</f>
        <v/>
      </c>
      <c r="I18" s="54">
        <f>IF(H18&lt;$B$13,0,INT(ROUND(10*POWER(H18/$B$13,1/3),9)))</f>
        <v/>
      </c>
      <c r="J18" s="54" t="n">
        <v>11</v>
      </c>
      <c r="K18" s="54">
        <f>IF(I18=J18,"PASS","CHECK")</f>
        <v/>
      </c>
      <c r="L18" s="57">
        <f>1+I18*1%</f>
        <v/>
      </c>
    </row>
    <row r="19">
      <c r="G19" s="54" t="n">
        <v>1.728</v>
      </c>
      <c r="H19" s="52">
        <f>G19*$B$13</f>
        <v/>
      </c>
      <c r="I19" s="54">
        <f>IF(H19&lt;$B$13,0,INT(ROUND(10*POWER(H19/$B$13,1/3),9)))</f>
        <v/>
      </c>
      <c r="J19" s="54" t="n">
        <v>12</v>
      </c>
      <c r="K19" s="54">
        <f>IF(I19=J19,"PASS","CHECK")</f>
        <v/>
      </c>
      <c r="L19" s="57">
        <f>1+I19*1%</f>
        <v/>
      </c>
    </row>
    <row r="20">
      <c r="G20" s="54" t="n">
        <v>8</v>
      </c>
      <c r="H20" s="52">
        <f>G20*$B$13</f>
        <v/>
      </c>
      <c r="I20" s="54">
        <f>IF(H20&lt;$B$13,0,INT(ROUND(10*POWER(H20/$B$13,1/3),9)))</f>
        <v/>
      </c>
      <c r="J20" s="54" t="n">
        <v>20</v>
      </c>
      <c r="K20" s="54">
        <f>IF(I20=J20,"PASS","CHECK")</f>
        <v/>
      </c>
      <c r="L20" s="57">
        <f>1+I20*1%</f>
        <v/>
      </c>
    </row>
    <row r="21">
      <c r="G21" s="54" t="n">
        <v>125</v>
      </c>
      <c r="H21" s="52">
        <f>G21*$B$13</f>
        <v/>
      </c>
      <c r="I21" s="54">
        <f>IF(H21&lt;$B$13,0,INT(ROUND(10*POWER(H21/$B$13,1/3),9)))</f>
        <v/>
      </c>
      <c r="J21" s="54" t="n">
        <v>50</v>
      </c>
      <c r="K21" s="54">
        <f>IF(I21=J21,"PASS","CHECK")</f>
        <v/>
      </c>
      <c r="L21" s="57">
        <f>1+I21*1%</f>
        <v/>
      </c>
    </row>
    <row r="22">
      <c r="A22" s="60" t="inlineStr">
        <is>
          <t>重复地块成本曲线（Cookie Clicker式1.15增长）</t>
        </is>
      </c>
      <c r="G22" s="54" t="n">
        <v>1000</v>
      </c>
      <c r="H22" s="52">
        <f>G22*$B$13</f>
        <v/>
      </c>
      <c r="I22" s="54">
        <f>IF(H22&lt;$B$13,0,INT(ROUND(10*POWER(H22/$B$13,1/3),9)))</f>
        <v/>
      </c>
      <c r="J22" s="54" t="n">
        <v>100</v>
      </c>
      <c r="K22" s="54">
        <f>IF(I22=J22,"PASS","CHECK")</f>
        <v/>
      </c>
      <c r="L22" s="57">
        <f>1+I22*1%</f>
        <v/>
      </c>
    </row>
    <row r="23">
      <c r="A23" t="inlineStr">
        <is>
          <t>放置基础成本</t>
        </is>
      </c>
      <c r="B23" s="61" t="n">
        <v>25</v>
      </c>
    </row>
    <row r="25" ht="34" customHeight="1">
      <c r="A25" s="4" t="inlineStr">
        <is>
          <t>已拥有数量</t>
        </is>
      </c>
      <c r="B25" s="4" t="inlineStr">
        <is>
          <t>下一件价格</t>
        </is>
      </c>
      <c r="C25" s="4" t="inlineStr">
        <is>
          <t>累计购买成本</t>
        </is>
      </c>
      <c r="D25" s="4" t="inlineStr">
        <is>
          <t>约为基础价倍数</t>
        </is>
      </c>
      <c r="E25" s="4" t="inlineStr">
        <is>
          <t>备注</t>
        </is>
      </c>
      <c r="G25" s="62" t="inlineStr">
        <is>
          <t>矿物解锁路径 · 实际回本</t>
        </is>
      </c>
    </row>
    <row r="26" ht="34" customHeight="1">
      <c r="A26" s="54" t="n">
        <v>0</v>
      </c>
      <c r="B26" s="52">
        <f>ROUNDUP($B$23*POWER(1.15,A26),0)</f>
        <v/>
      </c>
      <c r="C26" s="52">
        <f>B26</f>
        <v/>
      </c>
      <c r="D26" s="63">
        <f>B26/$B$23</f>
        <v/>
      </c>
      <c r="E26" s="54" t="inlineStr"/>
      <c r="G26" s="4" t="inlineStr">
        <is>
          <t>阶段</t>
        </is>
      </c>
      <c r="H26" s="4" t="inlineStr">
        <is>
          <t>新增矿物</t>
        </is>
      </c>
      <c r="I26" s="4" t="inlineStr">
        <is>
          <t>解锁成本</t>
        </is>
      </c>
      <c r="J26" s="4" t="inlineStr">
        <is>
          <t>当前累计CPS</t>
        </is>
      </c>
      <c r="K26" s="4" t="inlineStr">
        <is>
          <t>当前ΔCPS</t>
        </is>
      </c>
      <c r="L26" s="4" t="inlineStr">
        <is>
          <t>当前回本秒</t>
        </is>
      </c>
      <c r="M26" s="4" t="inlineStr">
        <is>
          <t>V2累计CPS</t>
        </is>
      </c>
      <c r="N26" s="4" t="inlineStr">
        <is>
          <t>V2 ΔCPS</t>
        </is>
      </c>
      <c r="O26" s="4" t="inlineStr">
        <is>
          <t>V2回本秒</t>
        </is>
      </c>
    </row>
    <row r="27">
      <c r="A27" s="54" t="n">
        <v>1</v>
      </c>
      <c r="B27" s="52">
        <f>ROUNDUP($B$23*POWER(1.15,A27),0)</f>
        <v/>
      </c>
      <c r="C27" s="52">
        <f>IF(A27=0,B27,C26+B27)</f>
        <v/>
      </c>
      <c r="D27" s="63">
        <f>B27/$B$23</f>
        <v/>
      </c>
      <c r="E27" s="54" t="inlineStr"/>
      <c r="G27" s="6" t="n">
        <v>0</v>
      </c>
      <c r="H27" s="6" t="inlineStr">
        <is>
          <t>初始coal/iron/zinc</t>
        </is>
      </c>
      <c r="I27" s="64" t="n">
        <v>0</v>
      </c>
      <c r="J27" s="64">
        <f>SUMPRODUCT(Content_Catalog!$E$5:$E$7,Content_Catalog!$F$5:$F$7)/SUM(Content_Catalog!$F$5:$F$7)/$B$4</f>
        <v/>
      </c>
      <c r="K27" s="64" t="inlineStr"/>
      <c r="L27" s="64" t="inlineStr"/>
      <c r="M27" s="64">
        <f>SUMPRODUCT(Content_Catalog!$N$5:$N$7,Content_Catalog!$F$5:$F$7)/SUM(Content_Catalog!$F$5:$F$7)/$B$4</f>
        <v/>
      </c>
      <c r="N27" s="64" t="inlineStr"/>
      <c r="O27" s="64" t="inlineStr"/>
    </row>
    <row r="28">
      <c r="A28" s="54" t="n">
        <v>2</v>
      </c>
      <c r="B28" s="52">
        <f>ROUNDUP($B$23*POWER(1.15,A28),0)</f>
        <v/>
      </c>
      <c r="C28" s="52">
        <f>IF(A28=0,B28,C27+B28)</f>
        <v/>
      </c>
      <c r="D28" s="63">
        <f>B28/$B$23</f>
        <v/>
      </c>
      <c r="E28" s="54" t="inlineStr"/>
      <c r="G28" s="6" t="n">
        <v>1</v>
      </c>
      <c r="H28" s="6" t="inlineStr">
        <is>
          <t>gold</t>
        </is>
      </c>
      <c r="I28" s="64" t="n">
        <v>250</v>
      </c>
      <c r="J28" s="64">
        <f>SUMPRODUCT(Content_Catalog!$E$5:$E$8,Content_Catalog!$F$5:$F$8)/SUM(Content_Catalog!$F$5:$F$8)/$B$4</f>
        <v/>
      </c>
      <c r="K28" s="64">
        <f>J28-J27</f>
        <v/>
      </c>
      <c r="L28" s="65">
        <f>IF(K28&lt;=0,"",I28/K28)</f>
        <v/>
      </c>
      <c r="M28" s="64">
        <f>SUMPRODUCT(Content_Catalog!$N$5:$N$8,Content_Catalog!$F$5:$F$8)/SUM(Content_Catalog!$F$5:$F$8)/$B$4</f>
        <v/>
      </c>
      <c r="N28" s="64">
        <f>M28-M27</f>
        <v/>
      </c>
      <c r="O28" s="49">
        <f>IF(N28&lt;=0,"",I28/N28)</f>
        <v/>
      </c>
    </row>
    <row r="29">
      <c r="A29" s="54" t="n">
        <v>3</v>
      </c>
      <c r="B29" s="52">
        <f>ROUNDUP($B$23*POWER(1.15,A29),0)</f>
        <v/>
      </c>
      <c r="C29" s="52">
        <f>IF(A29=0,B29,C28+B29)</f>
        <v/>
      </c>
      <c r="D29" s="63">
        <f>B29/$B$23</f>
        <v/>
      </c>
      <c r="E29" s="54" t="inlineStr"/>
      <c r="G29" s="6" t="n">
        <v>2</v>
      </c>
      <c r="H29" s="6" t="inlineStr">
        <is>
          <t>crystal</t>
        </is>
      </c>
      <c r="I29" s="64" t="n">
        <v>2500</v>
      </c>
      <c r="J29" s="64">
        <f>SUMPRODUCT(Content_Catalog!$E$5:$E$9,Content_Catalog!$F$5:$F$9)/SUM(Content_Catalog!$F$5:$F$9)/$B$4</f>
        <v/>
      </c>
      <c r="K29" s="64">
        <f>J29-J28</f>
        <v/>
      </c>
      <c r="L29" s="65">
        <f>IF(K29&lt;=0,"",I29/K29)</f>
        <v/>
      </c>
      <c r="M29" s="64">
        <f>SUMPRODUCT(Content_Catalog!$N$5:$N$9,Content_Catalog!$F$5:$F$9)/SUM(Content_Catalog!$F$5:$F$9)/$B$4</f>
        <v/>
      </c>
      <c r="N29" s="64">
        <f>M29-M28</f>
        <v/>
      </c>
      <c r="O29" s="49">
        <f>IF(N29&lt;=0,"",I29/N29)</f>
        <v/>
      </c>
    </row>
    <row r="30">
      <c r="A30" s="54" t="n">
        <v>4</v>
      </c>
      <c r="B30" s="52">
        <f>ROUNDUP($B$23*POWER(1.15,A30),0)</f>
        <v/>
      </c>
      <c r="C30" s="52">
        <f>IF(A30=0,B30,C29+B30)</f>
        <v/>
      </c>
      <c r="D30" s="63">
        <f>B30/$B$23</f>
        <v/>
      </c>
      <c r="E30" s="54" t="inlineStr"/>
      <c r="G30" s="6" t="n">
        <v>3</v>
      </c>
      <c r="H30" s="6" t="inlineStr">
        <is>
          <t>obsidian</t>
        </is>
      </c>
      <c r="I30" s="64" t="n">
        <v>12000</v>
      </c>
      <c r="J30" s="64">
        <f>SUMPRODUCT(Content_Catalog!$E$5:$E$10,Content_Catalog!$F$5:$F$10)/SUM(Content_Catalog!$F$5:$F$10)/$B$4</f>
        <v/>
      </c>
      <c r="K30" s="64">
        <f>J30-J29</f>
        <v/>
      </c>
      <c r="L30" s="65">
        <f>IF(K30&lt;=0,"",I30/K30)</f>
        <v/>
      </c>
      <c r="M30" s="64">
        <f>SUMPRODUCT(Content_Catalog!$N$5:$N$10,Content_Catalog!$F$5:$F$10)/SUM(Content_Catalog!$F$5:$F$10)/$B$4</f>
        <v/>
      </c>
      <c r="N30" s="64">
        <f>M30-M29</f>
        <v/>
      </c>
      <c r="O30" s="49">
        <f>IF(N30&lt;=0,"",I30/N30)</f>
        <v/>
      </c>
    </row>
    <row r="31">
      <c r="A31" s="54" t="n">
        <v>5</v>
      </c>
      <c r="B31" s="52">
        <f>ROUNDUP($B$23*POWER(1.15,A31),0)</f>
        <v/>
      </c>
      <c r="C31" s="52">
        <f>IF(A31=0,B31,C30+B31)</f>
        <v/>
      </c>
      <c r="D31" s="63">
        <f>B31/$B$23</f>
        <v/>
      </c>
      <c r="E31" s="54" t="inlineStr">
        <is>
          <t>约每5个翻倍</t>
        </is>
      </c>
      <c r="G31" s="6" t="n">
        <v>4</v>
      </c>
      <c r="H31" s="6" t="inlineStr">
        <is>
          <t>diamond</t>
        </is>
      </c>
      <c r="I31" s="64" t="n">
        <v>30000</v>
      </c>
      <c r="J31" s="64">
        <f>SUMPRODUCT(Content_Catalog!$E$5:$E$11,Content_Catalog!$F$5:$F$11)/SUM(Content_Catalog!$F$5:$F$11)/$B$4</f>
        <v/>
      </c>
      <c r="K31" s="64">
        <f>J31-J30</f>
        <v/>
      </c>
      <c r="L31" s="65">
        <f>IF(K31&lt;=0,"",I31/K31)</f>
        <v/>
      </c>
      <c r="M31" s="64">
        <f>SUMPRODUCT(Content_Catalog!$N$5:$N$11,Content_Catalog!$F$5:$F$11)/SUM(Content_Catalog!$F$5:$F$11)/$B$4</f>
        <v/>
      </c>
      <c r="N31" s="64">
        <f>M31-M30</f>
        <v/>
      </c>
      <c r="O31" s="49">
        <f>IF(N31&lt;=0,"",I31/N31)</f>
        <v/>
      </c>
    </row>
    <row r="32">
      <c r="A32" s="54" t="n">
        <v>6</v>
      </c>
      <c r="B32" s="52">
        <f>ROUNDUP($B$23*POWER(1.15,A32),0)</f>
        <v/>
      </c>
      <c r="C32" s="52">
        <f>IF(A32=0,B32,C31+B32)</f>
        <v/>
      </c>
      <c r="D32" s="63">
        <f>B32/$B$23</f>
        <v/>
      </c>
      <c r="E32" s="54" t="inlineStr"/>
      <c r="G32" s="6" t="n">
        <v>5</v>
      </c>
      <c r="H32" s="6" t="inlineStr">
        <is>
          <t>cat</t>
        </is>
      </c>
      <c r="I32" s="64" t="n">
        <v>250000</v>
      </c>
      <c r="J32" s="64">
        <f>SUMPRODUCT(Content_Catalog!$E$5:$E$12,Content_Catalog!$F$5:$F$12)/SUM(Content_Catalog!$F$5:$F$12)/$B$4</f>
        <v/>
      </c>
      <c r="K32" s="64">
        <f>J32-J31</f>
        <v/>
      </c>
      <c r="L32" s="65">
        <f>IF(K32&lt;=0,"",I32/K32)</f>
        <v/>
      </c>
      <c r="M32" s="64">
        <f>SUMPRODUCT(Content_Catalog!$N$5:$N$12,Content_Catalog!$F$5:$F$12)/SUM(Content_Catalog!$F$5:$F$12)/$B$4</f>
        <v/>
      </c>
      <c r="N32" s="64">
        <f>M32-M31</f>
        <v/>
      </c>
      <c r="O32" s="49">
        <f>IF(N32&lt;=0,"",I32/N32)</f>
        <v/>
      </c>
    </row>
    <row r="33">
      <c r="A33" s="54" t="n">
        <v>7</v>
      </c>
      <c r="B33" s="52">
        <f>ROUNDUP($B$23*POWER(1.15,A33),0)</f>
        <v/>
      </c>
      <c r="C33" s="52">
        <f>IF(A33=0,B33,C32+B33)</f>
        <v/>
      </c>
      <c r="D33" s="63">
        <f>B33/$B$23</f>
        <v/>
      </c>
      <c r="E33" s="54" t="inlineStr"/>
    </row>
    <row r="34">
      <c r="A34" s="54" t="n">
        <v>8</v>
      </c>
      <c r="B34" s="52">
        <f>ROUNDUP($B$23*POWER(1.15,A34),0)</f>
        <v/>
      </c>
      <c r="C34" s="52">
        <f>IF(A34=0,B34,C33+B34)</f>
        <v/>
      </c>
      <c r="D34" s="63">
        <f>B34/$B$23</f>
        <v/>
      </c>
      <c r="E34" s="54" t="inlineStr"/>
    </row>
    <row r="35">
      <c r="A35" s="54" t="n">
        <v>9</v>
      </c>
      <c r="B35" s="52">
        <f>ROUNDUP($B$23*POWER(1.15,A35),0)</f>
        <v/>
      </c>
      <c r="C35" s="52">
        <f>IF(A35=0,B35,C34+B35)</f>
        <v/>
      </c>
      <c r="D35" s="63">
        <f>B35/$B$23</f>
        <v/>
      </c>
      <c r="E35" s="54" t="inlineStr"/>
    </row>
    <row r="36">
      <c r="A36" s="54" t="n">
        <v>10</v>
      </c>
      <c r="B36" s="52">
        <f>ROUNDUP($B$23*POWER(1.15,A36),0)</f>
        <v/>
      </c>
      <c r="C36" s="52">
        <f>IF(A36=0,B36,C35+B36)</f>
        <v/>
      </c>
      <c r="D36" s="63">
        <f>B36/$B$23</f>
        <v/>
      </c>
      <c r="E36" s="54" t="inlineStr">
        <is>
          <t>约每5个翻倍</t>
        </is>
      </c>
    </row>
    <row r="37">
      <c r="A37" s="54" t="n">
        <v>11</v>
      </c>
      <c r="B37" s="52">
        <f>ROUNDUP($B$23*POWER(1.15,A37),0)</f>
        <v/>
      </c>
      <c r="C37" s="52">
        <f>IF(A37=0,B37,C36+B37)</f>
        <v/>
      </c>
      <c r="D37" s="63">
        <f>B37/$B$23</f>
        <v/>
      </c>
      <c r="E37" s="54" t="inlineStr"/>
    </row>
    <row r="38">
      <c r="A38" s="54" t="n">
        <v>12</v>
      </c>
      <c r="B38" s="52">
        <f>ROUNDUP($B$23*POWER(1.15,A38),0)</f>
        <v/>
      </c>
      <c r="C38" s="52">
        <f>IF(A38=0,B38,C37+B38)</f>
        <v/>
      </c>
      <c r="D38" s="63">
        <f>B38/$B$23</f>
        <v/>
      </c>
      <c r="E38" s="54" t="inlineStr"/>
    </row>
    <row r="39">
      <c r="A39" s="54" t="n">
        <v>13</v>
      </c>
      <c r="B39" s="52">
        <f>ROUNDUP($B$23*POWER(1.15,A39),0)</f>
        <v/>
      </c>
      <c r="C39" s="52">
        <f>IF(A39=0,B39,C38+B39)</f>
        <v/>
      </c>
      <c r="D39" s="63">
        <f>B39/$B$23</f>
        <v/>
      </c>
      <c r="E39" s="54" t="inlineStr"/>
    </row>
    <row r="40">
      <c r="A40" s="54" t="n">
        <v>14</v>
      </c>
      <c r="B40" s="52">
        <f>ROUNDUP($B$23*POWER(1.15,A40),0)</f>
        <v/>
      </c>
      <c r="C40" s="52">
        <f>IF(A40=0,B40,C39+B40)</f>
        <v/>
      </c>
      <c r="D40" s="63">
        <f>B40/$B$23</f>
        <v/>
      </c>
      <c r="E40" s="54" t="inlineStr"/>
    </row>
    <row r="41">
      <c r="A41" s="54" t="n">
        <v>15</v>
      </c>
      <c r="B41" s="52">
        <f>ROUNDUP($B$23*POWER(1.15,A41),0)</f>
        <v/>
      </c>
      <c r="C41" s="52">
        <f>IF(A41=0,B41,C40+B41)</f>
        <v/>
      </c>
      <c r="D41" s="63">
        <f>B41/$B$23</f>
        <v/>
      </c>
      <c r="E41" s="54" t="inlineStr">
        <is>
          <t>约每5个翻倍</t>
        </is>
      </c>
    </row>
    <row r="42">
      <c r="A42" s="54" t="n">
        <v>16</v>
      </c>
      <c r="B42" s="52">
        <f>ROUNDUP($B$23*POWER(1.15,A42),0)</f>
        <v/>
      </c>
      <c r="C42" s="52">
        <f>IF(A42=0,B42,C41+B42)</f>
        <v/>
      </c>
      <c r="D42" s="63">
        <f>B42/$B$23</f>
        <v/>
      </c>
      <c r="E42" s="54" t="inlineStr"/>
    </row>
    <row r="43">
      <c r="A43" s="54" t="n">
        <v>17</v>
      </c>
      <c r="B43" s="52">
        <f>ROUNDUP($B$23*POWER(1.15,A43),0)</f>
        <v/>
      </c>
      <c r="C43" s="52">
        <f>IF(A43=0,B43,C42+B43)</f>
        <v/>
      </c>
      <c r="D43" s="63">
        <f>B43/$B$23</f>
        <v/>
      </c>
      <c r="E43" s="54" t="inlineStr"/>
    </row>
    <row r="44">
      <c r="A44" s="54" t="n">
        <v>18</v>
      </c>
      <c r="B44" s="52">
        <f>ROUNDUP($B$23*POWER(1.15,A44),0)</f>
        <v/>
      </c>
      <c r="C44" s="52">
        <f>IF(A44=0,B44,C43+B44)</f>
        <v/>
      </c>
      <c r="D44" s="63">
        <f>B44/$B$23</f>
        <v/>
      </c>
      <c r="E44" s="54" t="inlineStr"/>
    </row>
    <row r="45">
      <c r="A45" s="54" t="n">
        <v>19</v>
      </c>
      <c r="B45" s="52">
        <f>ROUNDUP($B$23*POWER(1.15,A45),0)</f>
        <v/>
      </c>
      <c r="C45" s="52">
        <f>IF(A45=0,B45,C44+B45)</f>
        <v/>
      </c>
      <c r="D45" s="63">
        <f>B45/$B$23</f>
        <v/>
      </c>
      <c r="E45" s="54" t="inlineStr"/>
    </row>
    <row r="46">
      <c r="A46" s="54" t="n">
        <v>20</v>
      </c>
      <c r="B46" s="52">
        <f>ROUNDUP($B$23*POWER(1.15,A46),0)</f>
        <v/>
      </c>
      <c r="C46" s="52">
        <f>IF(A46=0,B46,C45+B46)</f>
        <v/>
      </c>
      <c r="D46" s="63">
        <f>B46/$B$23</f>
        <v/>
      </c>
      <c r="E46" s="54" t="inlineStr">
        <is>
          <t>约每5个翻倍</t>
        </is>
      </c>
    </row>
    <row r="47">
      <c r="A47" s="54" t="n">
        <v>21</v>
      </c>
      <c r="B47" s="52">
        <f>ROUNDUP($B$23*POWER(1.15,A47),0)</f>
        <v/>
      </c>
      <c r="C47" s="52">
        <f>IF(A47=0,B47,C46+B47)</f>
        <v/>
      </c>
      <c r="D47" s="63">
        <f>B47/$B$23</f>
        <v/>
      </c>
      <c r="E47" s="54" t="inlineStr"/>
    </row>
    <row r="48">
      <c r="A48" s="54" t="n">
        <v>22</v>
      </c>
      <c r="B48" s="52">
        <f>ROUNDUP($B$23*POWER(1.15,A48),0)</f>
        <v/>
      </c>
      <c r="C48" s="52">
        <f>IF(A48=0,B48,C47+B48)</f>
        <v/>
      </c>
      <c r="D48" s="63">
        <f>B48/$B$23</f>
        <v/>
      </c>
      <c r="E48" s="54" t="inlineStr"/>
    </row>
    <row r="49">
      <c r="A49" s="54" t="n">
        <v>23</v>
      </c>
      <c r="B49" s="52">
        <f>ROUNDUP($B$23*POWER(1.15,A49),0)</f>
        <v/>
      </c>
      <c r="C49" s="52">
        <f>IF(A49=0,B49,C48+B49)</f>
        <v/>
      </c>
      <c r="D49" s="63">
        <f>B49/$B$23</f>
        <v/>
      </c>
      <c r="E49" s="54" t="inlineStr"/>
    </row>
    <row r="50">
      <c r="A50" s="54" t="n">
        <v>24</v>
      </c>
      <c r="B50" s="52">
        <f>ROUNDUP($B$23*POWER(1.15,A50),0)</f>
        <v/>
      </c>
      <c r="C50" s="52">
        <f>IF(A50=0,B50,C49+B50)</f>
        <v/>
      </c>
      <c r="D50" s="63">
        <f>B50/$B$23</f>
        <v/>
      </c>
      <c r="E50" s="54" t="inlineStr"/>
    </row>
    <row r="51">
      <c r="A51" s="54" t="n">
        <v>25</v>
      </c>
      <c r="B51" s="52">
        <f>ROUNDUP($B$23*POWER(1.15,A51),0)</f>
        <v/>
      </c>
      <c r="C51" s="52">
        <f>IF(A51=0,B51,C50+B51)</f>
        <v/>
      </c>
      <c r="D51" s="63">
        <f>B51/$B$23</f>
        <v/>
      </c>
      <c r="E51" s="54" t="inlineStr"/>
    </row>
    <row r="52">
      <c r="A52" s="54" t="n">
        <v>26</v>
      </c>
      <c r="B52" s="52">
        <f>ROUNDUP($B$23*POWER(1.15,A52),0)</f>
        <v/>
      </c>
      <c r="C52" s="52">
        <f>IF(A52=0,B52,C51+B52)</f>
        <v/>
      </c>
      <c r="D52" s="63">
        <f>B52/$B$23</f>
        <v/>
      </c>
      <c r="E52" s="54" t="inlineStr"/>
    </row>
    <row r="53">
      <c r="A53" s="54" t="n">
        <v>27</v>
      </c>
      <c r="B53" s="52">
        <f>ROUNDUP($B$23*POWER(1.15,A53),0)</f>
        <v/>
      </c>
      <c r="C53" s="52">
        <f>IF(A53=0,B53,C52+B53)</f>
        <v/>
      </c>
      <c r="D53" s="63">
        <f>B53/$B$23</f>
        <v/>
      </c>
      <c r="E53" s="54" t="inlineStr"/>
    </row>
    <row r="54">
      <c r="A54" s="54" t="n">
        <v>28</v>
      </c>
      <c r="B54" s="52">
        <f>ROUNDUP($B$23*POWER(1.15,A54),0)</f>
        <v/>
      </c>
      <c r="C54" s="52">
        <f>IF(A54=0,B54,C53+B54)</f>
        <v/>
      </c>
      <c r="D54" s="63">
        <f>B54/$B$23</f>
        <v/>
      </c>
      <c r="E54" s="54" t="inlineStr"/>
    </row>
    <row r="55">
      <c r="A55" s="54" t="n">
        <v>29</v>
      </c>
      <c r="B55" s="52">
        <f>ROUNDUP($B$23*POWER(1.15,A55),0)</f>
        <v/>
      </c>
      <c r="C55" s="52">
        <f>IF(A55=0,B55,C54+B55)</f>
        <v/>
      </c>
      <c r="D55" s="63">
        <f>B55/$B$23</f>
        <v/>
      </c>
      <c r="E55" s="54" t="inlineStr"/>
    </row>
    <row r="56">
      <c r="A56" s="54" t="n">
        <v>30</v>
      </c>
      <c r="B56" s="52">
        <f>ROUNDUP($B$23*POWER(1.15,A56),0)</f>
        <v/>
      </c>
      <c r="C56" s="52">
        <f>IF(A56=0,B56,C55+B56)</f>
        <v/>
      </c>
      <c r="D56" s="63">
        <f>B56/$B$23</f>
        <v/>
      </c>
      <c r="E56" s="54" t="inlineStr"/>
    </row>
    <row r="57">
      <c r="A57" s="54" t="n">
        <v>31</v>
      </c>
      <c r="B57" s="52">
        <f>ROUNDUP($B$23*POWER(1.15,A57),0)</f>
        <v/>
      </c>
      <c r="C57" s="52">
        <f>IF(A57=0,B57,C56+B57)</f>
        <v/>
      </c>
      <c r="D57" s="63">
        <f>B57/$B$23</f>
        <v/>
      </c>
      <c r="E57" s="54" t="inlineStr"/>
    </row>
    <row r="58">
      <c r="A58" s="54" t="n">
        <v>32</v>
      </c>
      <c r="B58" s="52">
        <f>ROUNDUP($B$23*POWER(1.15,A58),0)</f>
        <v/>
      </c>
      <c r="C58" s="52">
        <f>IF(A58=0,B58,C57+B58)</f>
        <v/>
      </c>
      <c r="D58" s="63">
        <f>B58/$B$23</f>
        <v/>
      </c>
      <c r="E58" s="54" t="inlineStr"/>
    </row>
    <row r="59">
      <c r="A59" s="54" t="n">
        <v>33</v>
      </c>
      <c r="B59" s="52">
        <f>ROUNDUP($B$23*POWER(1.15,A59),0)</f>
        <v/>
      </c>
      <c r="C59" s="52">
        <f>IF(A59=0,B59,C58+B59)</f>
        <v/>
      </c>
      <c r="D59" s="63">
        <f>B59/$B$23</f>
        <v/>
      </c>
      <c r="E59" s="54" t="inlineStr"/>
    </row>
    <row r="60">
      <c r="A60" s="54" t="n">
        <v>34</v>
      </c>
      <c r="B60" s="52">
        <f>ROUNDUP($B$23*POWER(1.15,A60),0)</f>
        <v/>
      </c>
      <c r="C60" s="52">
        <f>IF(A60=0,B60,C59+B60)</f>
        <v/>
      </c>
      <c r="D60" s="63">
        <f>B60/$B$23</f>
        <v/>
      </c>
      <c r="E60" s="54" t="inlineStr"/>
    </row>
    <row r="61">
      <c r="A61" s="54" t="n">
        <v>35</v>
      </c>
      <c r="B61" s="52">
        <f>ROUNDUP($B$23*POWER(1.15,A61),0)</f>
        <v/>
      </c>
      <c r="C61" s="52">
        <f>IF(A61=0,B61,C60+B61)</f>
        <v/>
      </c>
      <c r="D61" s="63">
        <f>B61/$B$23</f>
        <v/>
      </c>
      <c r="E61" s="54" t="inlineStr"/>
    </row>
    <row r="62">
      <c r="A62" s="54" t="n">
        <v>36</v>
      </c>
      <c r="B62" s="52">
        <f>ROUNDUP($B$23*POWER(1.15,A62),0)</f>
        <v/>
      </c>
      <c r="C62" s="52">
        <f>IF(A62=0,B62,C61+B62)</f>
        <v/>
      </c>
      <c r="D62" s="63">
        <f>B62/$B$23</f>
        <v/>
      </c>
      <c r="E62" s="54" t="inlineStr"/>
    </row>
    <row r="63">
      <c r="A63" s="54" t="n">
        <v>37</v>
      </c>
      <c r="B63" s="52">
        <f>ROUNDUP($B$23*POWER(1.15,A63),0)</f>
        <v/>
      </c>
      <c r="C63" s="52">
        <f>IF(A63=0,B63,C62+B63)</f>
        <v/>
      </c>
      <c r="D63" s="63">
        <f>B63/$B$23</f>
        <v/>
      </c>
      <c r="E63" s="54" t="inlineStr"/>
    </row>
    <row r="64">
      <c r="A64" s="54" t="n">
        <v>38</v>
      </c>
      <c r="B64" s="52">
        <f>ROUNDUP($B$23*POWER(1.15,A64),0)</f>
        <v/>
      </c>
      <c r="C64" s="52">
        <f>IF(A64=0,B64,C63+B64)</f>
        <v/>
      </c>
      <c r="D64" s="63">
        <f>B64/$B$23</f>
        <v/>
      </c>
      <c r="E64" s="54" t="inlineStr"/>
    </row>
    <row r="65">
      <c r="A65" s="54" t="n">
        <v>39</v>
      </c>
      <c r="B65" s="52">
        <f>ROUNDUP($B$23*POWER(1.15,A65),0)</f>
        <v/>
      </c>
      <c r="C65" s="52">
        <f>IF(A65=0,B65,C64+B65)</f>
        <v/>
      </c>
      <c r="D65" s="63">
        <f>B65/$B$23</f>
        <v/>
      </c>
      <c r="E65" s="54" t="inlineStr"/>
    </row>
    <row r="66">
      <c r="A66" s="54" t="n">
        <v>40</v>
      </c>
      <c r="B66" s="52">
        <f>ROUNDUP($B$23*POWER(1.15,A66),0)</f>
        <v/>
      </c>
      <c r="C66" s="52">
        <f>IF(A66=0,B66,C65+B66)</f>
        <v/>
      </c>
      <c r="D66" s="63">
        <f>B66/$B$23</f>
        <v/>
      </c>
      <c r="E66" s="54" t="inlineStr"/>
    </row>
    <row r="67">
      <c r="A67" s="54" t="n">
        <v>41</v>
      </c>
      <c r="B67" s="52">
        <f>ROUNDUP($B$23*POWER(1.15,A67),0)</f>
        <v/>
      </c>
      <c r="C67" s="52">
        <f>IF(A67=0,B67,C66+B67)</f>
        <v/>
      </c>
      <c r="D67" s="63">
        <f>B67/$B$23</f>
        <v/>
      </c>
      <c r="E67" s="54" t="inlineStr"/>
    </row>
    <row r="68">
      <c r="A68" s="54" t="n">
        <v>42</v>
      </c>
      <c r="B68" s="52">
        <f>ROUNDUP($B$23*POWER(1.15,A68),0)</f>
        <v/>
      </c>
      <c r="C68" s="52">
        <f>IF(A68=0,B68,C67+B68)</f>
        <v/>
      </c>
      <c r="D68" s="63">
        <f>B68/$B$23</f>
        <v/>
      </c>
      <c r="E68" s="54" t="inlineStr"/>
    </row>
    <row r="69">
      <c r="A69" s="54" t="n">
        <v>43</v>
      </c>
      <c r="B69" s="52">
        <f>ROUNDUP($B$23*POWER(1.15,A69),0)</f>
        <v/>
      </c>
      <c r="C69" s="52">
        <f>IF(A69=0,B69,C68+B69)</f>
        <v/>
      </c>
      <c r="D69" s="63">
        <f>B69/$B$23</f>
        <v/>
      </c>
      <c r="E69" s="54" t="inlineStr"/>
    </row>
    <row r="70">
      <c r="A70" s="54" t="n">
        <v>44</v>
      </c>
      <c r="B70" s="52">
        <f>ROUNDUP($B$23*POWER(1.15,A70),0)</f>
        <v/>
      </c>
      <c r="C70" s="52">
        <f>IF(A70=0,B70,C69+B70)</f>
        <v/>
      </c>
      <c r="D70" s="63">
        <f>B70/$B$23</f>
        <v/>
      </c>
      <c r="E70" s="54" t="inlineStr"/>
    </row>
    <row r="71">
      <c r="A71" s="54" t="n">
        <v>45</v>
      </c>
      <c r="B71" s="52">
        <f>ROUNDUP($B$23*POWER(1.15,A71),0)</f>
        <v/>
      </c>
      <c r="C71" s="52">
        <f>IF(A71=0,B71,C70+B71)</f>
        <v/>
      </c>
      <c r="D71" s="63">
        <f>B71/$B$23</f>
        <v/>
      </c>
      <c r="E71" s="54" t="inlineStr"/>
    </row>
    <row r="72">
      <c r="A72" s="54" t="n">
        <v>46</v>
      </c>
      <c r="B72" s="52">
        <f>ROUNDUP($B$23*POWER(1.15,A72),0)</f>
        <v/>
      </c>
      <c r="C72" s="52">
        <f>IF(A72=0,B72,C71+B72)</f>
        <v/>
      </c>
      <c r="D72" s="63">
        <f>B72/$B$23</f>
        <v/>
      </c>
      <c r="E72" s="54" t="inlineStr"/>
    </row>
    <row r="73">
      <c r="A73" s="54" t="n">
        <v>47</v>
      </c>
      <c r="B73" s="52">
        <f>ROUNDUP($B$23*POWER(1.15,A73),0)</f>
        <v/>
      </c>
      <c r="C73" s="52">
        <f>IF(A73=0,B73,C72+B73)</f>
        <v/>
      </c>
      <c r="D73" s="63">
        <f>B73/$B$23</f>
        <v/>
      </c>
      <c r="E73" s="54" t="inlineStr"/>
    </row>
    <row r="74">
      <c r="A74" s="54" t="n">
        <v>48</v>
      </c>
      <c r="B74" s="52">
        <f>ROUNDUP($B$23*POWER(1.15,A74),0)</f>
        <v/>
      </c>
      <c r="C74" s="52">
        <f>IF(A74=0,B74,C73+B74)</f>
        <v/>
      </c>
      <c r="D74" s="63">
        <f>B74/$B$23</f>
        <v/>
      </c>
      <c r="E74" s="54" t="inlineStr"/>
    </row>
    <row r="75">
      <c r="A75" s="54" t="n">
        <v>49</v>
      </c>
      <c r="B75" s="52">
        <f>ROUNDUP($B$23*POWER(1.15,A75),0)</f>
        <v/>
      </c>
      <c r="C75" s="52">
        <f>IF(A75=0,B75,C74+B75)</f>
        <v/>
      </c>
      <c r="D75" s="63">
        <f>B75/$B$23</f>
        <v/>
      </c>
      <c r="E75" s="54" t="inlineStr"/>
    </row>
    <row r="76">
      <c r="A76" s="54" t="n">
        <v>50</v>
      </c>
      <c r="B76" s="52">
        <f>ROUNDUP($B$23*POWER(1.15,A76),0)</f>
        <v/>
      </c>
      <c r="C76" s="52">
        <f>IF(A76=0,B76,C75+B76)</f>
        <v/>
      </c>
      <c r="D76" s="63">
        <f>B76/$B$23</f>
        <v/>
      </c>
      <c r="E76" s="54" t="inlineStr">
        <is>
          <t>约50个上涨1000倍</t>
        </is>
      </c>
    </row>
    <row r="79">
      <c r="A79" s="66" t="inlineStr">
        <is>
          <t>镐子吞吐模拟</t>
        </is>
      </c>
    </row>
    <row r="80">
      <c r="A80" s="67" t="inlineStr">
        <is>
          <t>点击率（次/秒）</t>
        </is>
      </c>
      <c r="B80" s="68" t="n">
        <v>1</v>
      </c>
    </row>
    <row r="81">
      <c r="A81" s="67" t="inlineStr">
        <is>
          <t>活跃时间占比</t>
        </is>
      </c>
      <c r="B81" s="69" t="n">
        <v>1</v>
      </c>
    </row>
    <row r="82">
      <c r="A82" s="67" t="inlineStr">
        <is>
          <t>grass伤害倍率</t>
        </is>
      </c>
      <c r="B82" s="68" t="n">
        <v>1.5</v>
      </c>
    </row>
    <row r="84" ht="34" customHeight="1">
      <c r="A84" s="4" t="inlineStr">
        <is>
          <t>基础伤害</t>
        </is>
      </c>
      <c r="B84" s="4" t="inlineStr">
        <is>
          <t>grass有效伤害</t>
        </is>
      </c>
      <c r="C84" s="4" t="inlineStr">
        <is>
          <t>初始池平均击数</t>
        </is>
      </c>
      <c r="D84" s="4" t="inlineStr">
        <is>
          <t>全池平均击数</t>
        </is>
      </c>
      <c r="E84" s="4" t="inlineStr">
        <is>
          <t>挖矿容量(矿/秒)</t>
        </is>
      </c>
      <c r="F84" s="4" t="inlineStr">
        <is>
          <t>生成上限(矿/秒)</t>
        </is>
      </c>
      <c r="G84" s="4" t="inlineStr">
        <is>
          <t>实际清矿率</t>
        </is>
      </c>
      <c r="H84" s="4" t="inlineStr">
        <is>
          <t>全池V2价值/矿</t>
        </is>
      </c>
      <c r="I84" s="4" t="inlineStr">
        <is>
          <t>理论CPS</t>
        </is>
      </c>
    </row>
    <row r="85">
      <c r="A85" s="70" t="n">
        <v>10</v>
      </c>
      <c r="B85" s="70">
        <f>A85*$B$82</f>
        <v/>
      </c>
      <c r="C85" s="70">
        <f>SUMPRODUCT(Content_Catalog!$F$5:$F$7,ROUNDUP(Content_Catalog!$G$5:$G$7/B85,0))/SUM(Content_Catalog!$F$5:$F$7)</f>
        <v/>
      </c>
      <c r="D85" s="70">
        <f>SUMPRODUCT(Content_Catalog!$F$5:$F$12,ROUNDUP(Content_Catalog!$G$5:$G$12/B85,0))/SUM(Content_Catalog!$F$5:$F$12)</f>
        <v/>
      </c>
      <c r="E85" s="70">
        <f>$B$80*$B$81/D85</f>
        <v/>
      </c>
      <c r="F85" s="70">
        <f>1/$B$4</f>
        <v/>
      </c>
      <c r="G85" s="70">
        <f>MIN(E85,F85)</f>
        <v/>
      </c>
      <c r="H85" s="70">
        <f>SUMPRODUCT(Content_Catalog!$N$5:$N$12,Content_Catalog!$F$5:$F$12)/SUM(Content_Catalog!$F$5:$F$12)</f>
        <v/>
      </c>
      <c r="I85" s="70">
        <f>G85*H85</f>
        <v/>
      </c>
    </row>
    <row r="86">
      <c r="A86" s="70" t="n">
        <v>15</v>
      </c>
      <c r="B86" s="70">
        <f>A86*$B$82</f>
        <v/>
      </c>
      <c r="C86" s="70">
        <f>SUMPRODUCT(Content_Catalog!$F$5:$F$7,ROUNDUP(Content_Catalog!$G$5:$G$7/B86,0))/SUM(Content_Catalog!$F$5:$F$7)</f>
        <v/>
      </c>
      <c r="D86" s="70">
        <f>SUMPRODUCT(Content_Catalog!$F$5:$F$12,ROUNDUP(Content_Catalog!$G$5:$G$12/B86,0))/SUM(Content_Catalog!$F$5:$F$12)</f>
        <v/>
      </c>
      <c r="E86" s="70">
        <f>$B$80*$B$81/D86</f>
        <v/>
      </c>
      <c r="F86" s="70">
        <f>1/$B$4</f>
        <v/>
      </c>
      <c r="G86" s="70">
        <f>MIN(E86,F86)</f>
        <v/>
      </c>
      <c r="H86" s="70">
        <f>SUMPRODUCT(Content_Catalog!$N$5:$N$12,Content_Catalog!$F$5:$F$12)/SUM(Content_Catalog!$F$5:$F$12)</f>
        <v/>
      </c>
      <c r="I86" s="70">
        <f>G86*H86</f>
        <v/>
      </c>
    </row>
    <row r="87">
      <c r="A87" s="70" t="n">
        <v>20</v>
      </c>
      <c r="B87" s="70">
        <f>A87*$B$82</f>
        <v/>
      </c>
      <c r="C87" s="70">
        <f>SUMPRODUCT(Content_Catalog!$F$5:$F$7,ROUNDUP(Content_Catalog!$G$5:$G$7/B87,0))/SUM(Content_Catalog!$F$5:$F$7)</f>
        <v/>
      </c>
      <c r="D87" s="70">
        <f>SUMPRODUCT(Content_Catalog!$F$5:$F$12,ROUNDUP(Content_Catalog!$G$5:$G$12/B87,0))/SUM(Content_Catalog!$F$5:$F$12)</f>
        <v/>
      </c>
      <c r="E87" s="70">
        <f>$B$80*$B$81/D87</f>
        <v/>
      </c>
      <c r="F87" s="70">
        <f>1/$B$4</f>
        <v/>
      </c>
      <c r="G87" s="70">
        <f>MIN(E87,F87)</f>
        <v/>
      </c>
      <c r="H87" s="70">
        <f>SUMPRODUCT(Content_Catalog!$N$5:$N$12,Content_Catalog!$F$5:$F$12)/SUM(Content_Catalog!$F$5:$F$12)</f>
        <v/>
      </c>
      <c r="I87" s="70">
        <f>G87*H87</f>
        <v/>
      </c>
    </row>
    <row r="88">
      <c r="A88" s="70" t="n">
        <v>25</v>
      </c>
      <c r="B88" s="70">
        <f>A88*$B$82</f>
        <v/>
      </c>
      <c r="C88" s="70">
        <f>SUMPRODUCT(Content_Catalog!$F$5:$F$7,ROUNDUP(Content_Catalog!$G$5:$G$7/B88,0))/SUM(Content_Catalog!$F$5:$F$7)</f>
        <v/>
      </c>
      <c r="D88" s="70">
        <f>SUMPRODUCT(Content_Catalog!$F$5:$F$12,ROUNDUP(Content_Catalog!$G$5:$G$12/B88,0))/SUM(Content_Catalog!$F$5:$F$12)</f>
        <v/>
      </c>
      <c r="E88" s="70">
        <f>$B$80*$B$81/D88</f>
        <v/>
      </c>
      <c r="F88" s="70">
        <f>1/$B$4</f>
        <v/>
      </c>
      <c r="G88" s="70">
        <f>MIN(E88,F88)</f>
        <v/>
      </c>
      <c r="H88" s="70">
        <f>SUMPRODUCT(Content_Catalog!$N$5:$N$12,Content_Catalog!$F$5:$F$12)/SUM(Content_Catalog!$F$5:$F$12)</f>
        <v/>
      </c>
      <c r="I88" s="70">
        <f>G88*H88</f>
        <v/>
      </c>
    </row>
    <row r="90" ht="38" customHeight="1">
      <c r="A90" s="71" t="inlineStr">
        <is>
          <t>说明：当‘挖矿容量’高于0.5矿/秒的生成上限时，继续加伤害主要改善手感，不会提高理论CPS；此时应依赖更快生成、spawn或自动化产生经济价值。</t>
        </is>
      </c>
    </row>
  </sheetData>
  <mergeCells count="8">
    <mergeCell ref="A90:I90"/>
    <mergeCell ref="A2:O2"/>
    <mergeCell ref="G3:J3"/>
    <mergeCell ref="G25:O25"/>
    <mergeCell ref="G12:L12"/>
    <mergeCell ref="A1:O1"/>
    <mergeCell ref="A79:I79"/>
    <mergeCell ref="A22:E22"/>
  </mergeCells>
  <conditionalFormatting sqref="O28:O32">
    <cfRule type="expression" priority="1" dxfId="1">
      <formula>AND($O28&gt;=400,$O28&lt;=700)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6" customWidth="1" min="4" max="4"/>
    <col width="20" customWidth="1" min="5" max="5"/>
    <col width="21" customWidth="1" min="6" max="6"/>
    <col width="17" customWidth="1" min="7" max="7"/>
    <col width="18" customWidth="1" min="8" max="8"/>
    <col width="18" customWidth="1" min="9" max="9"/>
    <col width="26" customWidth="1" min="10" max="10"/>
    <col width="18" customWidth="1" min="11" max="11"/>
    <col width="38" customWidth="1" min="12" max="12"/>
    <col width="52" customWidth="1" min="13" max="13"/>
    <col width="22" customWidth="1" min="14" max="14"/>
    <col width="52" customWidth="1" min="15" max="15"/>
  </cols>
  <sheetData>
    <row r="1" ht="34" customHeight="1">
      <c r="A1" s="1" t="inlineStr">
        <is>
          <t>Content Catalog · 实际ID对照</t>
        </is>
      </c>
    </row>
    <row r="2" ht="30" customHeight="1">
      <c r="A2" s="2" t="inlineStr">
        <is>
          <t>‘当前代码开局可用’记录仓库现状；‘V2建议开局可用’记录目标设计，两列不可混用。</t>
        </is>
      </c>
    </row>
    <row r="4" ht="34" customHeight="1">
      <c r="A4" s="4" t="inlineStr">
        <is>
          <t>类型</t>
        </is>
      </c>
      <c r="B4" s="4" t="inlineStr">
        <is>
          <t>ID</t>
        </is>
      </c>
      <c r="C4" s="4" t="inlineStr">
        <is>
          <t>名称</t>
        </is>
      </c>
      <c r="D4" s="4" t="inlineStr">
        <is>
          <t>稀有度/行为</t>
        </is>
      </c>
      <c r="E4" s="4" t="inlineStr">
        <is>
          <t>基础价值/价值倍率</t>
        </is>
      </c>
      <c r="F4" s="4" t="inlineStr">
        <is>
          <t>生成权重/触发间隔</t>
        </is>
      </c>
      <c r="G4" s="4" t="inlineStr">
        <is>
          <t>基础HP/伤害</t>
        </is>
      </c>
      <c r="H4" s="4" t="inlineStr">
        <is>
          <t>当前代码开局可用</t>
        </is>
      </c>
      <c r="I4" s="4" t="inlineStr">
        <is>
          <t>V2建议开局可用</t>
        </is>
      </c>
      <c r="J4" s="4" t="inlineStr">
        <is>
          <t>解锁天赋</t>
        </is>
      </c>
      <c r="K4" s="4" t="inlineStr">
        <is>
          <t>建议放置基础成本</t>
        </is>
      </c>
      <c r="L4" s="4" t="inlineStr">
        <is>
          <t>资源路径</t>
        </is>
      </c>
      <c r="M4" s="4" t="inlineStr">
        <is>
          <t>说明</t>
        </is>
      </c>
      <c r="N4" s="4" t="inlineStr">
        <is>
          <t>V2建议基础价值/倍率</t>
        </is>
      </c>
      <c r="O4" s="4" t="inlineStr">
        <is>
          <t>V2数值说明</t>
        </is>
      </c>
    </row>
    <row r="5" ht="44" customHeight="1">
      <c r="A5" s="21" t="inlineStr">
        <is>
          <t>ORE</t>
        </is>
      </c>
      <c r="B5" s="6" t="inlineStr">
        <is>
          <t>coal</t>
        </is>
      </c>
      <c r="C5" s="6" t="inlineStr">
        <is>
          <t>煤矿</t>
        </is>
      </c>
      <c r="D5" s="6" t="n">
        <v>1</v>
      </c>
      <c r="E5" s="6" t="n">
        <v>2</v>
      </c>
      <c r="F5" s="6" t="n">
        <v>50</v>
      </c>
      <c r="G5" s="6" t="n">
        <v>10</v>
      </c>
      <c r="H5" s="72" t="inlineStr">
        <is>
          <t>是</t>
        </is>
      </c>
      <c r="I5" s="73" t="inlineStr">
        <is>
          <t>是</t>
        </is>
      </c>
      <c r="J5" s="6" t="inlineStr"/>
      <c r="K5" s="6" t="inlineStr"/>
      <c r="L5" s="6" t="inlineStr">
        <is>
          <t>res://defs/ores/coal.tres</t>
        </is>
      </c>
      <c r="M5" s="6" t="inlineStr">
        <is>
          <t>Lv1/2/3价值倍率1/2/4，HP倍率1/1.5/2.25。</t>
        </is>
      </c>
      <c r="N5" s="6" t="n">
        <v>2</v>
      </c>
      <c r="O5" s="6" t="inlineStr">
        <is>
          <t>与当前数值相同；后续用实机数据校准。</t>
        </is>
      </c>
    </row>
    <row r="6" ht="44" customHeight="1">
      <c r="A6" s="21" t="inlineStr">
        <is>
          <t>ORE</t>
        </is>
      </c>
      <c r="B6" s="6" t="inlineStr">
        <is>
          <t>iron</t>
        </is>
      </c>
      <c r="C6" s="6" t="inlineStr">
        <is>
          <t>铁矿</t>
        </is>
      </c>
      <c r="D6" s="6" t="n">
        <v>1</v>
      </c>
      <c r="E6" s="6" t="n">
        <v>2</v>
      </c>
      <c r="F6" s="6" t="n">
        <v>100</v>
      </c>
      <c r="G6" s="6" t="n">
        <v>10</v>
      </c>
      <c r="H6" s="72" t="inlineStr">
        <is>
          <t>是</t>
        </is>
      </c>
      <c r="I6" s="73" t="inlineStr">
        <is>
          <t>是</t>
        </is>
      </c>
      <c r="J6" s="6" t="inlineStr"/>
      <c r="K6" s="6" t="inlineStr"/>
      <c r="L6" s="6" t="inlineStr">
        <is>
          <t>res://defs/ores/iron.tres</t>
        </is>
      </c>
      <c r="M6" s="6" t="inlineStr">
        <is>
          <t>OreDef默认rarity=1、base_hp=10。</t>
        </is>
      </c>
      <c r="N6" s="6" t="n">
        <v>2</v>
      </c>
      <c r="O6" s="6" t="inlineStr">
        <is>
          <t>与当前数值相同；后续用实机数据校准。</t>
        </is>
      </c>
    </row>
    <row r="7" ht="44" customHeight="1">
      <c r="A7" s="21" t="inlineStr">
        <is>
          <t>ORE</t>
        </is>
      </c>
      <c r="B7" s="6" t="inlineStr">
        <is>
          <t>zinc</t>
        </is>
      </c>
      <c r="C7" s="6" t="inlineStr">
        <is>
          <t>锌矿</t>
        </is>
      </c>
      <c r="D7" s="6" t="n">
        <v>1</v>
      </c>
      <c r="E7" s="6" t="n">
        <v>3</v>
      </c>
      <c r="F7" s="6" t="n">
        <v>40</v>
      </c>
      <c r="G7" s="6" t="n">
        <v>12</v>
      </c>
      <c r="H7" s="72" t="inlineStr">
        <is>
          <t>是</t>
        </is>
      </c>
      <c r="I7" s="73" t="inlineStr">
        <is>
          <t>是</t>
        </is>
      </c>
      <c r="J7" s="6" t="inlineStr"/>
      <c r="K7" s="6" t="inlineStr"/>
      <c r="L7" s="6" t="inlineStr">
        <is>
          <t>res://defs/ores/zinc.tres</t>
        </is>
      </c>
      <c r="M7" s="6" t="inlineStr">
        <is>
          <t>V2初始常见矿。</t>
        </is>
      </c>
      <c r="N7" s="6" t="n">
        <v>3</v>
      </c>
      <c r="O7" s="6" t="inlineStr">
        <is>
          <t>与当前数值相同；后续用实机数据校准。</t>
        </is>
      </c>
    </row>
    <row r="8" ht="44" customHeight="1">
      <c r="A8" s="21" t="inlineStr">
        <is>
          <t>ORE</t>
        </is>
      </c>
      <c r="B8" s="6" t="inlineStr">
        <is>
          <t>gold</t>
        </is>
      </c>
      <c r="C8" s="6" t="inlineStr">
        <is>
          <t>金矿</t>
        </is>
      </c>
      <c r="D8" s="6" t="n">
        <v>2</v>
      </c>
      <c r="E8" s="6" t="n">
        <v>12</v>
      </c>
      <c r="F8" s="6" t="n">
        <v>25</v>
      </c>
      <c r="G8" s="6" t="n">
        <v>40</v>
      </c>
      <c r="H8" s="72" t="inlineStr">
        <is>
          <t>是</t>
        </is>
      </c>
      <c r="I8" s="24" t="inlineStr">
        <is>
          <t>否</t>
        </is>
      </c>
      <c r="J8" s="6" t="inlineStr">
        <is>
          <t>ore_unlock_gold</t>
        </is>
      </c>
      <c r="K8" s="6" t="inlineStr"/>
      <c r="L8" s="6" t="inlineStr">
        <is>
          <t>res://defs/ores/gold.tres</t>
        </is>
      </c>
      <c r="M8" s="6" t="inlineStr">
        <is>
          <t>当前开局强制生成1个gold；实施V2时需移除绕过。</t>
        </is>
      </c>
      <c r="N8" s="6" t="n">
        <v>12</v>
      </c>
      <c r="O8" s="6" t="inlineStr">
        <is>
          <t>与当前数值相同；后续用实机数据校准。</t>
        </is>
      </c>
    </row>
    <row r="9" ht="44" customHeight="1">
      <c r="A9" s="21" t="inlineStr">
        <is>
          <t>ORE</t>
        </is>
      </c>
      <c r="B9" s="6" t="inlineStr">
        <is>
          <t>crystal</t>
        </is>
      </c>
      <c r="C9" s="6" t="inlineStr">
        <is>
          <t>水晶矿</t>
        </is>
      </c>
      <c r="D9" s="6" t="n">
        <v>3</v>
      </c>
      <c r="E9" s="6" t="n">
        <v>25</v>
      </c>
      <c r="F9" s="6" t="n">
        <v>10</v>
      </c>
      <c r="G9" s="6" t="n">
        <v>70</v>
      </c>
      <c r="H9" s="72" t="inlineStr">
        <is>
          <t>是</t>
        </is>
      </c>
      <c r="I9" s="24" t="inlineStr">
        <is>
          <t>否</t>
        </is>
      </c>
      <c r="J9" s="6" t="inlineStr">
        <is>
          <t>ore_unlock_crystal</t>
        </is>
      </c>
      <c r="K9" s="6" t="inlineStr"/>
      <c r="L9" s="6" t="inlineStr">
        <is>
          <t>res://defs/ores/crystal.tres</t>
        </is>
      </c>
      <c r="M9" s="6" t="inlineStr">
        <is>
          <t>spawn地块固定生成它，必须执行解锁校验。</t>
        </is>
      </c>
      <c r="N9" s="6" t="n">
        <v>200</v>
      </c>
      <c r="O9" s="6" t="inlineStr">
        <is>
          <t>价值提升到200，使2.5K解锁在上一阶段约9.5分钟回本。</t>
        </is>
      </c>
    </row>
    <row r="10" ht="44" customHeight="1">
      <c r="A10" s="21" t="inlineStr">
        <is>
          <t>ORE</t>
        </is>
      </c>
      <c r="B10" s="6" t="inlineStr">
        <is>
          <t>obsidian</t>
        </is>
      </c>
      <c r="C10" s="6" t="inlineStr">
        <is>
          <t>黑曜石</t>
        </is>
      </c>
      <c r="D10" s="6" t="n">
        <v>3</v>
      </c>
      <c r="E10" s="6" t="n">
        <v>35</v>
      </c>
      <c r="F10" s="6" t="n">
        <v>8</v>
      </c>
      <c r="G10" s="6" t="n">
        <v>100</v>
      </c>
      <c r="H10" s="72" t="inlineStr">
        <is>
          <t>是</t>
        </is>
      </c>
      <c r="I10" s="24" t="inlineStr">
        <is>
          <t>否</t>
        </is>
      </c>
      <c r="J10" s="6" t="inlineStr">
        <is>
          <t>ore_unlock_obsidian</t>
        </is>
      </c>
      <c r="K10" s="6" t="inlineStr"/>
      <c r="L10" s="6" t="inlineStr">
        <is>
          <t>res://defs/ores/obsidian.tres</t>
        </is>
      </c>
      <c r="M10" s="6" t="inlineStr"/>
      <c r="N10" s="6" t="n">
        <v>1200</v>
      </c>
      <c r="O10" s="6" t="inlineStr">
        <is>
          <t>价值提升到1.2K，使12K解锁约9.8分钟回本。</t>
        </is>
      </c>
    </row>
    <row r="11" ht="44" customHeight="1">
      <c r="A11" s="21" t="inlineStr">
        <is>
          <t>ORE</t>
        </is>
      </c>
      <c r="B11" s="6" t="inlineStr">
        <is>
          <t>diamond</t>
        </is>
      </c>
      <c r="C11" s="6" t="inlineStr">
        <is>
          <t>钻石矿</t>
        </is>
      </c>
      <c r="D11" s="6" t="n">
        <v>3</v>
      </c>
      <c r="E11" s="6" t="n">
        <v>40</v>
      </c>
      <c r="F11" s="6" t="n">
        <v>5</v>
      </c>
      <c r="G11" s="6" t="n">
        <v>120</v>
      </c>
      <c r="H11" s="72" t="inlineStr">
        <is>
          <t>是</t>
        </is>
      </c>
      <c r="I11" s="24" t="inlineStr">
        <is>
          <t>否</t>
        </is>
      </c>
      <c r="J11" s="6" t="inlineStr">
        <is>
          <t>ore_unlock_diamond</t>
        </is>
      </c>
      <c r="K11" s="6" t="inlineStr"/>
      <c r="L11" s="6" t="inlineStr">
        <is>
          <t>res://defs/ores/diamond.tres</t>
        </is>
      </c>
      <c r="M11" s="6" t="inlineStr"/>
      <c r="N11" s="6" t="n">
        <v>5000</v>
      </c>
      <c r="O11" s="6" t="inlineStr">
        <is>
          <t>价值提升到5K，使30K解锁约9.6分钟回本。</t>
        </is>
      </c>
    </row>
    <row r="12" ht="44" customHeight="1">
      <c r="A12" s="21" t="inlineStr">
        <is>
          <t>ORE</t>
        </is>
      </c>
      <c r="B12" s="6" t="inlineStr">
        <is>
          <t>cat</t>
        </is>
      </c>
      <c r="C12" s="6" t="inlineStr">
        <is>
          <t>猫矿</t>
        </is>
      </c>
      <c r="D12" s="6" t="n">
        <v>4</v>
      </c>
      <c r="E12" s="6" t="n">
        <v>500</v>
      </c>
      <c r="F12" s="6" t="n">
        <v>1</v>
      </c>
      <c r="G12" s="6" t="n">
        <v>300</v>
      </c>
      <c r="H12" s="72" t="inlineStr">
        <is>
          <t>是</t>
        </is>
      </c>
      <c r="I12" s="24" t="inlineStr">
        <is>
          <t>否</t>
        </is>
      </c>
      <c r="J12" s="6" t="inlineStr">
        <is>
          <t>ore_unlock_cat</t>
        </is>
      </c>
      <c r="K12" s="6" t="inlineStr"/>
      <c r="L12" s="6" t="inlineStr">
        <is>
          <t>res://defs/ores/cat.tres</t>
        </is>
      </c>
      <c r="M12" s="6" t="inlineStr">
        <is>
          <t>不存在emerald；不要恢复旧表中的绿宝石节点。</t>
        </is>
      </c>
      <c r="N12" s="6" t="n">
        <v>200000</v>
      </c>
      <c r="O12" s="6" t="inlineStr">
        <is>
          <t>价值提升到200K，使250K解锁约10分钟回本；保留weight=1。</t>
        </is>
      </c>
    </row>
    <row r="13" ht="44" customHeight="1">
      <c r="A13" s="22" t="inlineStr">
        <is>
          <t>TILE</t>
        </is>
      </c>
      <c r="B13" s="6" t="inlineStr">
        <is>
          <t>dirt</t>
        </is>
      </c>
      <c r="C13" s="6" t="inlineStr">
        <is>
          <t>泥土</t>
        </is>
      </c>
      <c r="D13" s="6" t="inlineStr">
        <is>
          <t>NONE</t>
        </is>
      </c>
      <c r="E13" s="6" t="n">
        <v>1</v>
      </c>
      <c r="F13" s="6" t="n">
        <v>0</v>
      </c>
      <c r="G13" s="6" t="n">
        <v>0</v>
      </c>
      <c r="H13" s="72" t="inlineStr">
        <is>
          <t>是</t>
        </is>
      </c>
      <c r="I13" s="73" t="inlineStr">
        <is>
          <t>是</t>
        </is>
      </c>
      <c r="J13" s="6" t="inlineStr"/>
      <c r="K13" s="6" t="n">
        <v>0</v>
      </c>
      <c r="L13" s="6" t="inlineStr">
        <is>
          <t>res://defs/tiles/dirt.tres</t>
        </is>
      </c>
      <c r="M13" s="6" t="inlineStr">
        <is>
          <t>无效果；V2默认可用。</t>
        </is>
      </c>
      <c r="N13" s="6" t="n">
        <v>1</v>
      </c>
      <c r="O13" s="6" t="inlineStr">
        <is>
          <t>与当前数值相同；后续用实机数据校准。</t>
        </is>
      </c>
    </row>
    <row r="14" ht="44" customHeight="1">
      <c r="A14" s="22" t="inlineStr">
        <is>
          <t>TILE</t>
        </is>
      </c>
      <c r="B14" s="6" t="inlineStr">
        <is>
          <t>grass</t>
        </is>
      </c>
      <c r="C14" s="6" t="inlineStr">
        <is>
          <t>草地</t>
        </is>
      </c>
      <c r="D14" s="6" t="inlineStr">
        <is>
          <t>GRASS</t>
        </is>
      </c>
      <c r="E14" s="6" t="n">
        <v>1</v>
      </c>
      <c r="F14" s="6" t="n">
        <v>0</v>
      </c>
      <c r="G14" s="6" t="n">
        <v>0</v>
      </c>
      <c r="H14" s="72" t="inlineStr">
        <is>
          <t>是</t>
        </is>
      </c>
      <c r="I14" s="73" t="inlineStr">
        <is>
          <t>是</t>
        </is>
      </c>
      <c r="J14" s="6" t="inlineStr"/>
      <c r="K14" s="6" t="n">
        <v>0</v>
      </c>
      <c r="L14" s="6" t="inlineStr">
        <is>
          <t>res://defs/tiles/grass.tres</t>
        </is>
      </c>
      <c r="M14" s="6" t="inlineStr">
        <is>
          <t>手动挖矿伤害倍率1.5；初始3×3均为grass。</t>
        </is>
      </c>
      <c r="N14" s="6" t="n">
        <v>1</v>
      </c>
      <c r="O14" s="6" t="inlineStr">
        <is>
          <t>与当前数值相同；后续用实机数据校准。</t>
        </is>
      </c>
    </row>
    <row r="15" ht="44" customHeight="1">
      <c r="A15" s="22" t="inlineStr">
        <is>
          <t>TILE</t>
        </is>
      </c>
      <c r="B15" s="6" t="inlineStr">
        <is>
          <t>stone</t>
        </is>
      </c>
      <c r="C15" s="6" t="inlineStr">
        <is>
          <t>石头</t>
        </is>
      </c>
      <c r="D15" s="6" t="inlineStr">
        <is>
          <t>STONE</t>
        </is>
      </c>
      <c r="E15" s="6" t="n">
        <v>1.5</v>
      </c>
      <c r="F15" s="6" t="n">
        <v>0</v>
      </c>
      <c r="G15" s="6" t="n">
        <v>0</v>
      </c>
      <c r="H15" s="72" t="inlineStr">
        <is>
          <t>是</t>
        </is>
      </c>
      <c r="I15" s="24" t="inlineStr">
        <is>
          <t>否</t>
        </is>
      </c>
      <c r="J15" s="6" t="inlineStr">
        <is>
          <t>tile_unlock_stone</t>
        </is>
      </c>
      <c r="K15" s="6" t="n">
        <v>50</v>
      </c>
      <c r="L15" s="6" t="inlineStr">
        <is>
          <t>res://defs/tiles/stone.tres</t>
        </is>
      </c>
      <c r="M15" s="6" t="inlineStr">
        <is>
          <t>旧表rock已改为准确ID stone。</t>
        </is>
      </c>
      <c r="N15" s="6" t="n">
        <v>1.5</v>
      </c>
      <c r="O15" s="6" t="inlineStr">
        <is>
          <t>与当前数值相同；后续用实机数据校准。</t>
        </is>
      </c>
    </row>
    <row r="16" ht="44" customHeight="1">
      <c r="A16" s="22" t="inlineStr">
        <is>
          <t>TILE</t>
        </is>
      </c>
      <c r="B16" s="6" t="inlineStr">
        <is>
          <t>water</t>
        </is>
      </c>
      <c r="C16" s="6" t="inlineStr">
        <is>
          <t>水域</t>
        </is>
      </c>
      <c r="D16" s="6" t="inlineStr">
        <is>
          <t>WATER</t>
        </is>
      </c>
      <c r="E16" s="6" t="n">
        <v>1</v>
      </c>
      <c r="F16" s="6" t="n">
        <v>0</v>
      </c>
      <c r="G16" s="6" t="n">
        <v>0</v>
      </c>
      <c r="H16" s="72" t="inlineStr">
        <is>
          <t>是</t>
        </is>
      </c>
      <c r="I16" s="24" t="inlineStr">
        <is>
          <t>否</t>
        </is>
      </c>
      <c r="J16" s="6" t="inlineStr">
        <is>
          <t>tile_unlock_water</t>
        </is>
      </c>
      <c r="K16" s="6" t="n">
        <v>100</v>
      </c>
      <c r="L16" s="6" t="inlineStr">
        <is>
          <t>res://defs/tiles/water.tres</t>
        </is>
      </c>
      <c r="M16" s="6" t="inlineStr">
        <is>
          <t>沉没返还10%当前硬编码。</t>
        </is>
      </c>
      <c r="N16" s="6" t="n">
        <v>1</v>
      </c>
      <c r="O16" s="6" t="inlineStr">
        <is>
          <t>与当前数值相同；后续用实机数据校准。</t>
        </is>
      </c>
    </row>
    <row r="17" ht="44" customHeight="1">
      <c r="A17" s="22" t="inlineStr">
        <is>
          <t>TILE</t>
        </is>
      </c>
      <c r="B17" s="6" t="inlineStr">
        <is>
          <t>fire</t>
        </is>
      </c>
      <c r="C17" s="6" t="inlineStr">
        <is>
          <t>熔岩</t>
        </is>
      </c>
      <c r="D17" s="6" t="inlineStr">
        <is>
          <t>FIRE</t>
        </is>
      </c>
      <c r="E17" s="6" t="n">
        <v>1</v>
      </c>
      <c r="F17" s="6" t="n">
        <v>1</v>
      </c>
      <c r="G17" s="6" t="n">
        <v>10</v>
      </c>
      <c r="H17" s="72" t="inlineStr">
        <is>
          <t>是</t>
        </is>
      </c>
      <c r="I17" s="24" t="inlineStr">
        <is>
          <t>否</t>
        </is>
      </c>
      <c r="J17" s="6" t="inlineStr">
        <is>
          <t>tile_unlock_fire</t>
        </is>
      </c>
      <c r="K17" s="6" t="n">
        <v>500</v>
      </c>
      <c r="L17" s="6" t="inlineStr">
        <is>
          <t>res://defs/tiles/fire.tres</t>
        </is>
      </c>
      <c r="M17" s="6" t="inlineStr">
        <is>
          <t>每1秒对同格矿物造成10伤害。</t>
        </is>
      </c>
      <c r="N17" s="6" t="n">
        <v>1</v>
      </c>
      <c r="O17" s="6" t="inlineStr">
        <is>
          <t>与当前数值相同；后续用实机数据校准。</t>
        </is>
      </c>
    </row>
    <row r="18" ht="44" customHeight="1">
      <c r="A18" s="22" t="inlineStr">
        <is>
          <t>TILE</t>
        </is>
      </c>
      <c r="B18" s="6" t="inlineStr">
        <is>
          <t>pull</t>
        </is>
      </c>
      <c r="C18" s="6" t="inlineStr">
        <is>
          <t>磁吸</t>
        </is>
      </c>
      <c r="D18" s="6" t="inlineStr">
        <is>
          <t>PULL</t>
        </is>
      </c>
      <c r="E18" s="6" t="n">
        <v>1</v>
      </c>
      <c r="F18" s="6" t="n">
        <v>2</v>
      </c>
      <c r="G18" s="6" t="n">
        <v>0</v>
      </c>
      <c r="H18" s="72" t="inlineStr">
        <is>
          <t>是</t>
        </is>
      </c>
      <c r="I18" s="24" t="inlineStr">
        <is>
          <t>否</t>
        </is>
      </c>
      <c r="J18" s="6" t="inlineStr">
        <is>
          <t>tile_unlock_pull</t>
        </is>
      </c>
      <c r="K18" s="6" t="n">
        <v>1000</v>
      </c>
      <c r="L18" s="6" t="inlineStr">
        <is>
          <t>res://defs/tiles/pull.tres</t>
        </is>
      </c>
      <c r="M18" s="6" t="inlineStr">
        <is>
          <t>每2秒随机吸一个正交邻矿。</t>
        </is>
      </c>
      <c r="N18" s="6" t="n">
        <v>1</v>
      </c>
      <c r="O18" s="6" t="inlineStr">
        <is>
          <t>与当前数值相同；后续用实机数据校准。</t>
        </is>
      </c>
    </row>
    <row r="19" ht="44" customHeight="1">
      <c r="A19" s="22" t="inlineStr">
        <is>
          <t>TILE</t>
        </is>
      </c>
      <c r="B19" s="6" t="inlineStr">
        <is>
          <t>push</t>
        </is>
      </c>
      <c r="C19" s="6" t="inlineStr">
        <is>
          <t>传送带</t>
        </is>
      </c>
      <c r="D19" s="6" t="inlineStr">
        <is>
          <t>PUSH</t>
        </is>
      </c>
      <c r="E19" s="6" t="n">
        <v>1</v>
      </c>
      <c r="F19" s="6" t="n">
        <v>2</v>
      </c>
      <c r="G19" s="6" t="n">
        <v>0</v>
      </c>
      <c r="H19" s="72" t="inlineStr">
        <is>
          <t>是</t>
        </is>
      </c>
      <c r="I19" s="24" t="inlineStr">
        <is>
          <t>否</t>
        </is>
      </c>
      <c r="J19" s="6" t="inlineStr">
        <is>
          <t>tile_unlock_push</t>
        </is>
      </c>
      <c r="K19" s="6" t="n">
        <v>1000</v>
      </c>
      <c r="L19" s="6" t="inlineStr">
        <is>
          <t>res://defs/tiles/push.tres</t>
        </is>
      </c>
      <c r="M19" s="6" t="inlineStr">
        <is>
          <t>每2秒随机推动同格矿物。</t>
        </is>
      </c>
      <c r="N19" s="6" t="n">
        <v>1</v>
      </c>
      <c r="O19" s="6" t="inlineStr">
        <is>
          <t>与当前数值相同；后续用实机数据校准。</t>
        </is>
      </c>
    </row>
    <row r="20" ht="44" customHeight="1">
      <c r="A20" s="22" t="inlineStr">
        <is>
          <t>TILE</t>
        </is>
      </c>
      <c r="B20" s="6" t="inlineStr">
        <is>
          <t>spawn</t>
        </is>
      </c>
      <c r="C20" s="6" t="inlineStr">
        <is>
          <t>水晶矿脉</t>
        </is>
      </c>
      <c r="D20" s="6" t="inlineStr">
        <is>
          <t>SPAWN</t>
        </is>
      </c>
      <c r="E20" s="6" t="n">
        <v>1</v>
      </c>
      <c r="F20" s="6" t="n">
        <v>5</v>
      </c>
      <c r="G20" s="6" t="n">
        <v>0</v>
      </c>
      <c r="H20" s="72" t="inlineStr">
        <is>
          <t>是</t>
        </is>
      </c>
      <c r="I20" s="24" t="inlineStr">
        <is>
          <t>否</t>
        </is>
      </c>
      <c r="J20" s="6" t="inlineStr">
        <is>
          <t>tile_unlock_spawn</t>
        </is>
      </c>
      <c r="K20" s="6" t="n">
        <v>20000</v>
      </c>
      <c r="L20" s="6" t="inlineStr">
        <is>
          <t>res://defs/tiles/spawn.tres</t>
        </is>
      </c>
      <c r="M20" s="6" t="inlineStr">
        <is>
          <t>每5秒固定生成crystal，受矿物上限约束。</t>
        </is>
      </c>
      <c r="N20" s="6" t="n">
        <v>1</v>
      </c>
      <c r="O20" s="6" t="inlineStr">
        <is>
          <t>crystal=200时单块理论40 CPS；建议max_owned=2、放置基础成本20K。</t>
        </is>
      </c>
    </row>
    <row r="21" ht="44" customHeight="1">
      <c r="A21" s="22" t="inlineStr">
        <is>
          <t>TILE</t>
        </is>
      </c>
      <c r="B21" s="6" t="inlineStr">
        <is>
          <t>upgrade</t>
        </is>
      </c>
      <c r="C21" s="6" t="inlineStr">
        <is>
          <t>升级台</t>
        </is>
      </c>
      <c r="D21" s="6" t="inlineStr">
        <is>
          <t>UPGRADE</t>
        </is>
      </c>
      <c r="E21" s="6" t="n">
        <v>1</v>
      </c>
      <c r="F21" s="6" t="n">
        <v>3</v>
      </c>
      <c r="G21" s="6" t="n">
        <v>0</v>
      </c>
      <c r="H21" s="72" t="inlineStr">
        <is>
          <t>是</t>
        </is>
      </c>
      <c r="I21" s="24" t="inlineStr">
        <is>
          <t>否</t>
        </is>
      </c>
      <c r="J21" s="6" t="inlineStr">
        <is>
          <t>tile_unlock_upgrade</t>
        </is>
      </c>
      <c r="K21" s="6" t="n">
        <v>10000</v>
      </c>
      <c r="L21" s="6" t="inlineStr">
        <is>
          <t>res://defs/tiles/upgrade.tres</t>
        </is>
      </c>
      <c r="M21" s="6" t="inlineStr">
        <is>
          <t>每3秒使同格矿物+1级，当前最高3。</t>
        </is>
      </c>
      <c r="N21" s="6" t="n">
        <v>1</v>
      </c>
      <c r="O21" s="6" t="inlineStr">
        <is>
          <t>升级上限必须服从Lv2/Lv3天赋。</t>
        </is>
      </c>
    </row>
    <row r="22" ht="44" customHeight="1">
      <c r="A22" s="22" t="inlineStr">
        <is>
          <t>TILE</t>
        </is>
      </c>
      <c r="B22" s="6" t="inlineStr">
        <is>
          <t>rarity</t>
        </is>
      </c>
      <c r="C22" s="6" t="inlineStr">
        <is>
          <t>稀有矿脉</t>
        </is>
      </c>
      <c r="D22" s="6" t="inlineStr">
        <is>
          <t>RARITY</t>
        </is>
      </c>
      <c r="E22" s="6" t="n">
        <v>1</v>
      </c>
      <c r="F22" s="6" t="n">
        <v>0</v>
      </c>
      <c r="G22" s="6" t="n">
        <v>0</v>
      </c>
      <c r="H22" s="72" t="inlineStr">
        <is>
          <t>是</t>
        </is>
      </c>
      <c r="I22" s="24" t="inlineStr">
        <is>
          <t>否</t>
        </is>
      </c>
      <c r="J22" s="6" t="inlineStr">
        <is>
          <t>tile_unlock_rarity</t>
        </is>
      </c>
      <c r="K22" s="6" t="n">
        <v>50000</v>
      </c>
      <c r="L22" s="6" t="inlineStr">
        <is>
          <t>res://defs/tiles/rarity.tres</t>
        </is>
      </c>
      <c r="M22" s="6" t="inlineStr">
        <is>
          <t>当前仅在自动落矿选中该格时把最低稀有度设为3。</t>
        </is>
      </c>
      <c r="N22" s="6" t="n">
        <v>1</v>
      </c>
      <c r="O22" s="6" t="inlineStr">
        <is>
          <t>改为rarity≥3权重+50%，不要继续使用min_rarity=3硬过滤；建议max_owned=1。</t>
        </is>
      </c>
    </row>
    <row r="23" ht="44" customHeight="1">
      <c r="A23" s="22" t="inlineStr">
        <is>
          <t>TILE</t>
        </is>
      </c>
      <c r="B23" s="6" t="inlineStr">
        <is>
          <t>volcano_stable</t>
        </is>
      </c>
      <c r="C23" s="6" t="inlineStr">
        <is>
          <t>稳定火山</t>
        </is>
      </c>
      <c r="D23" s="6" t="inlineStr">
        <is>
          <t>VOLCANO</t>
        </is>
      </c>
      <c r="E23" s="6" t="n">
        <v>1</v>
      </c>
      <c r="F23" s="6" t="n">
        <v>2</v>
      </c>
      <c r="G23" s="6" t="n">
        <v>30</v>
      </c>
      <c r="H23" s="72" t="inlineStr">
        <is>
          <t>是</t>
        </is>
      </c>
      <c r="I23" s="24" t="inlineStr">
        <is>
          <t>否</t>
        </is>
      </c>
      <c r="J23" s="6" t="inlineStr">
        <is>
          <t>tile_unlock_volcano</t>
        </is>
      </c>
      <c r="K23" s="6" t="n">
        <v>30000</v>
      </c>
      <c r="L23" s="6" t="inlineStr">
        <is>
          <t>res://defs/tiles/volcano_stable.tres</t>
        </is>
      </c>
      <c r="M23" s="6" t="inlineStr">
        <is>
          <t>旧表volcano已改为准确ID volcano_stable。</t>
        </is>
      </c>
      <c r="N23" s="6" t="n">
        <v>1</v>
      </c>
      <c r="O23" s="6" t="inlineStr">
        <is>
          <t>与当前数值相同；后续用实机数据校准。</t>
        </is>
      </c>
    </row>
  </sheetData>
  <mergeCells count="2">
    <mergeCell ref="A1:O1"/>
    <mergeCell ref="A2:O2"/>
  </mergeCells>
  <dataValidations count="2">
    <dataValidation sqref="H5:H23" showDropDown="0" showInputMessage="0" showErrorMessage="0" allowBlank="0" type="list">
      <formula1>=Lists!$F$1:$F$2</formula1>
    </dataValidation>
    <dataValidation sqref="I5:I23" showDropDown="0" showInputMessage="0" showErrorMessage="0" allowBlank="0" type="list">
      <formula1>=Lists!$F$1:$F$2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40" customWidth="1" min="4" max="4"/>
    <col width="36" customWidth="1" min="5" max="5"/>
    <col width="44" customWidth="1" min="6" max="6"/>
  </cols>
  <sheetData>
    <row r="1" ht="34" customHeight="1">
      <c r="A1" s="1" t="inlineStr">
        <is>
          <t>Change Log · V1 → V2</t>
        </is>
      </c>
    </row>
    <row r="2" ht="30" customHeight="1">
      <c r="A2" s="2" t="inlineStr">
        <is>
          <t>记录设计决策、项目差异与需要程序配合的事项。</t>
        </is>
      </c>
    </row>
    <row r="4" ht="34" customHeight="1">
      <c r="A4" s="4" t="inlineStr">
        <is>
          <t>优先级</t>
        </is>
      </c>
      <c r="B4" s="4" t="inlineStr">
        <is>
          <t>类别</t>
        </is>
      </c>
      <c r="C4" s="4" t="inlineStr">
        <is>
          <t>变更</t>
        </is>
      </c>
      <c r="D4" s="4" t="inlineStr">
        <is>
          <t>原因</t>
        </is>
      </c>
      <c r="E4" s="4" t="inlineStr">
        <is>
          <t>代码影响</t>
        </is>
      </c>
      <c r="F4" s="4" t="inlineStr">
        <is>
          <t>验收条件</t>
        </is>
      </c>
    </row>
    <row r="5" ht="58" customHeight="1">
      <c r="A5" s="74" t="inlineStr">
        <is>
          <t>P0</t>
        </is>
      </c>
      <c r="B5" s="6" t="inlineStr">
        <is>
          <t>经济</t>
        </is>
      </c>
      <c r="C5" s="6" t="inlineStr">
        <is>
          <t>删除每圈成本×1000，改为ROI定价；重复放置才用1.15增长。</t>
        </is>
      </c>
      <c r="D5" s="6" t="inlineStr">
        <is>
          <t>旧曲线在当前产率下不可达。</t>
        </is>
      </c>
      <c r="E5" s="6" t="inlineStr">
        <is>
          <t>Talent/Tile购买系统</t>
        </is>
      </c>
      <c r="F5" s="6" t="inlineStr">
        <is>
          <t>模拟表中主要购买的回本时间处于目标区间。</t>
        </is>
      </c>
    </row>
    <row r="6" ht="58" customHeight="1">
      <c r="A6" s="74" t="inlineStr">
        <is>
          <t>P0</t>
        </is>
      </c>
      <c r="B6" s="6" t="inlineStr">
        <is>
          <t>钱包</t>
        </is>
      </c>
      <c r="C6" s="6" t="inlineStr">
        <is>
          <t>Basic购买连接GameManager/PlayerProgression权威金币。</t>
        </is>
      </c>
      <c r="D6" s="6" t="inlineStr">
        <is>
          <t>当前TalentGrid有独立starting_gold。</t>
        </is>
      </c>
      <c r="E6" s="6" t="inlineStr">
        <is>
          <t>重构TalentGrid购买入口</t>
        </is>
      </c>
      <c r="F6" s="6" t="inlineStr">
        <is>
          <t>HUD与天赋购买显示同一余额并可存档。</t>
        </is>
      </c>
    </row>
    <row r="7" ht="58" customHeight="1">
      <c r="A7" s="74" t="inlineStr">
        <is>
          <t>P0</t>
        </is>
      </c>
      <c r="B7" s="6" t="inlineStr">
        <is>
          <t>解锁</t>
        </is>
      </c>
      <c r="C7" s="6" t="inlineStr">
        <is>
          <t>增加矿物/地块解锁过滤。</t>
        </is>
      </c>
      <c r="D7" s="6" t="inlineStr">
        <is>
          <t>当前全部内容开局可用。</t>
        </is>
      </c>
      <c r="E7" s="6" t="inlineStr">
        <is>
          <t>DefDb、TileDrawer、放置入口</t>
        </is>
      </c>
      <c r="F7" s="6" t="inlineStr">
        <is>
          <t>锁定内容不生成、不显示或不可放置。</t>
        </is>
      </c>
    </row>
    <row r="8" ht="58" customHeight="1">
      <c r="A8" s="74" t="inlineStr">
        <is>
          <t>P0</t>
        </is>
      </c>
      <c r="B8" s="6" t="inlineStr">
        <is>
          <t>奖励</t>
        </is>
      </c>
      <c r="C8" s="6" t="inlineStr">
        <is>
          <t>ore_removed携带击杀cause。</t>
        </is>
      </c>
      <c r="D8" s="6" t="inlineStr">
        <is>
          <t>手挖收益、连击和自动化无法区分。</t>
        </is>
      </c>
      <c r="E8" s="6" t="inlineStr">
        <is>
          <t>GridModel、GameManager</t>
        </is>
      </c>
      <c r="F8" s="6" t="inlineStr">
        <is>
          <t>manual/fire/volcano/water/auto_pick分别结算。</t>
        </is>
      </c>
    </row>
    <row r="9" ht="58" customHeight="1">
      <c r="A9" s="75" t="inlineStr">
        <is>
          <t>P1</t>
        </is>
      </c>
      <c r="B9" s="6" t="inlineStr">
        <is>
          <t>数据</t>
        </is>
      </c>
      <c r="C9" s="6" t="inlineStr">
        <is>
          <t>TalentDef增加等级、多前置、效果数组、上限和描述。</t>
        </is>
      </c>
      <c r="D9" s="6" t="inlineStr">
        <is>
          <t>当前只有UI数据。</t>
        </is>
      </c>
      <c r="E9" s="6" t="inlineStr">
        <is>
          <t>TalentDef、存档</t>
        </is>
      </c>
      <c r="F9" s="6" t="inlineStr">
        <is>
          <t>Excel字段可一一映射到运行时数据。</t>
        </is>
      </c>
    </row>
    <row r="10" ht="58" customHeight="1">
      <c r="A10" s="75" t="inlineStr">
        <is>
          <t>P1</t>
        </is>
      </c>
      <c r="B10" s="6" t="inlineStr">
        <is>
          <t>ID</t>
        </is>
      </c>
      <c r="C10" s="6" t="inlineStr">
        <is>
          <t>移除emerald；rock→stone；volcano→volcano_stable。</t>
        </is>
      </c>
      <c r="D10" s="6" t="inlineStr">
        <is>
          <t>旧表与资源不一致。</t>
        </is>
      </c>
      <c r="E10" s="6" t="inlineStr">
        <is>
          <t>演示定义与内容清单</t>
        </is>
      </c>
      <c r="F10" s="6" t="inlineStr">
        <is>
          <t>启动校验无缺失target_id。</t>
        </is>
      </c>
    </row>
    <row r="11" ht="58" customHeight="1">
      <c r="A11" s="75" t="inlineStr">
        <is>
          <t>P1</t>
        </is>
      </c>
      <c r="B11" s="6" t="inlineStr">
        <is>
          <t>等级</t>
        </is>
      </c>
      <c r="C11" s="6" t="inlineStr">
        <is>
          <t>高级/巨大改为全局自然等级概率。</t>
        </is>
      </c>
      <c r="D11" s="6" t="inlineStr">
        <is>
          <t>逐矿重复节点臃肿，upgrade会绕过。</t>
        </is>
      </c>
      <c r="E11" s="6" t="inlineStr">
        <is>
          <t>spawn_ore、upgrade行为</t>
        </is>
      </c>
      <c r="F11" s="6" t="inlineStr">
        <is>
          <t>Lv2/Lv3生成与升级均服从已解锁上限。</t>
        </is>
      </c>
    </row>
    <row r="12" ht="58" customHeight="1">
      <c r="A12" s="75" t="inlineStr">
        <is>
          <t>P1</t>
        </is>
      </c>
      <c r="B12" s="6" t="inlineStr">
        <is>
          <t>矿值</t>
        </is>
      </c>
      <c r="C12" s="6" t="inlineStr">
        <is>
          <t>增加V2矿值阶梯：12/200/1.2K/5K/200K。</t>
        </is>
      </c>
      <c r="D12" s="6" t="inlineStr">
        <is>
          <t>保留旧矿值会让后四档解锁回本1.4~67小时。</t>
        </is>
      </c>
      <c r="E12" s="6" t="inlineStr">
        <is>
          <t>OreDef数值（尚未修改）</t>
        </is>
      </c>
      <c r="F12" s="6" t="inlineStr">
        <is>
          <t>按顺序解锁的理论回本约439~598秒。</t>
        </is>
      </c>
    </row>
    <row r="13" ht="58" customHeight="1">
      <c r="A13" s="75" t="inlineStr">
        <is>
          <t>P1</t>
        </is>
      </c>
      <c r="B13" s="6" t="inlineStr">
        <is>
          <t>地块</t>
        </is>
      </c>
      <c r="C13" s="6" t="inlineStr">
        <is>
          <t>spawn最多2块；rarity最多1块且改为权重加成。</t>
        </is>
      </c>
      <c r="D13" s="6" t="inlineStr">
        <is>
          <t>指数矿值会放大固定生成和稀有硬过滤。</t>
        </is>
      </c>
      <c r="E13" s="6" t="inlineStr">
        <is>
          <t>TileDef、放置上限与价格</t>
        </is>
      </c>
      <c r="F13" s="6" t="inlineStr">
        <is>
          <t>不能用9个spawn/rarity在几十秒内击穿经济。</t>
        </is>
      </c>
    </row>
    <row r="14" ht="58" customHeight="1">
      <c r="A14" s="75" t="inlineStr">
        <is>
          <t>P1</t>
        </is>
      </c>
      <c r="B14" s="6" t="inlineStr">
        <is>
          <t>升华</t>
        </is>
      </c>
      <c r="C14" s="6" t="inlineStr">
        <is>
          <t>重置作为Action；总点数与未消费点分开。</t>
        </is>
      </c>
      <c r="D14" s="6" t="inlineStr">
        <is>
          <t>消费点不应降低永久倍率。</t>
        </is>
      </c>
      <c r="E14" s="6" t="inlineStr">
        <is>
          <t>PlayerProgression、UI</t>
        </is>
      </c>
      <c r="F14" s="6" t="inlineStr">
        <is>
          <t>预览点数准确，重置后永久数据保留。</t>
        </is>
      </c>
    </row>
    <row r="15" ht="58" customHeight="1">
      <c r="A15" s="76" t="inlineStr">
        <is>
          <t>P2</t>
        </is>
      </c>
      <c r="B15" s="6" t="inlineStr">
        <is>
          <t>数值</t>
        </is>
      </c>
      <c r="C15" s="6" t="inlineStr">
        <is>
          <t>统一同类加法、跨层乘法和效果上限。</t>
        </is>
      </c>
      <c r="D15" s="6" t="inlineStr">
        <is>
          <t>避免多乘区指数失控。</t>
        </is>
      </c>
      <c r="E15" s="6" t="inlineStr">
        <is>
          <t>ModifierSet</t>
        </is>
      </c>
      <c r="F15" s="6" t="inlineStr">
        <is>
          <t>同一结算顺序有单元测试。</t>
        </is>
      </c>
    </row>
    <row r="16" ht="58" customHeight="1">
      <c r="A16" s="76" t="inlineStr">
        <is>
          <t>P2</t>
        </is>
      </c>
      <c r="B16" s="6" t="inlineStr">
        <is>
          <t>展示</t>
        </is>
      </c>
      <c r="C16" s="6" t="inlineStr">
        <is>
          <t>Tree_View只展示，Basic/Advanced为权威表。</t>
        </is>
      </c>
      <c r="D16" s="6" t="inlineStr">
        <is>
          <t>空间表无法表达公式和依赖。</t>
        </is>
      </c>
      <c r="E16" s="6" t="inlineStr">
        <is>
          <t>数据导入工具（可选）</t>
        </is>
      </c>
      <c r="F16" s="6" t="inlineStr">
        <is>
          <t>节点点击可回到对应数据行。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镐子</t>
        </is>
      </c>
      <c r="B1" t="inlineStr">
        <is>
          <t>金币</t>
        </is>
      </c>
      <c r="C1" t="inlineStr">
        <is>
          <t>ADD</t>
        </is>
      </c>
      <c r="D1" t="inlineStr">
        <is>
          <t>GLOBAL</t>
        </is>
      </c>
      <c r="E1" t="inlineStr">
        <is>
          <t>升华时重置</t>
        </is>
      </c>
      <c r="F1" t="inlineStr">
        <is>
          <t>是</t>
        </is>
      </c>
    </row>
    <row r="2">
      <c r="A2" t="inlineStr">
        <is>
          <t>金币</t>
        </is>
      </c>
      <c r="B2" t="inlineStr">
        <is>
          <t>升华点</t>
        </is>
      </c>
      <c r="C2" t="inlineStr">
        <is>
          <t>ADD_PERCENT</t>
        </is>
      </c>
      <c r="D2" t="inlineStr">
        <is>
          <t>PICKAXE</t>
        </is>
      </c>
      <c r="E2" t="inlineStr">
        <is>
          <t>永久</t>
        </is>
      </c>
      <c r="F2" t="inlineStr">
        <is>
          <t>否</t>
        </is>
      </c>
    </row>
    <row r="3">
      <c r="A3" t="inlineStr">
        <is>
          <t>矿石</t>
        </is>
      </c>
      <c r="C3" t="inlineStr">
        <is>
          <t>MULTIPLY</t>
        </is>
      </c>
      <c r="D3" t="inlineStr">
        <is>
          <t>ORE</t>
        </is>
      </c>
    </row>
    <row r="4">
      <c r="A4" t="inlineStr">
        <is>
          <t>地块</t>
        </is>
      </c>
      <c r="C4" t="inlineStr">
        <is>
          <t>SET</t>
        </is>
      </c>
      <c r="D4" t="inlineStr">
        <is>
          <t>TILE</t>
        </is>
      </c>
    </row>
    <row r="5">
      <c r="A5" t="inlineStr">
        <is>
          <t>升华</t>
        </is>
      </c>
      <c r="C5" t="inlineStr">
        <is>
          <t>UNLOCK</t>
        </is>
      </c>
      <c r="D5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 + hongb0</dc:creator>
  <dc:title xmlns:dc="http://purl.org/dc/elements/1.1/">Dig Godot Talent Design V2</dc:title>
  <dc:description xmlns:dc="http://purl.org/dc/elements/1.1/">Generated from talent_design.xlsx and current project content definitions.</dc:description>
  <dc:subject xmlns:dc="http://purl.org/dc/elements/1.1/">Basic talents, ascension talents and balance model</dc:subject>
  <dcterms:created xmlns:dcterms="http://purl.org/dc/terms/" xmlns:xsi="http://www.w3.org/2001/XMLSchema-instance" xsi:type="dcterms:W3CDTF">2026-08-15T16:30:53Z</dcterms:created>
  <dcterms:modified xmlns:dcterms="http://purl.org/dc/terms/" xmlns:xsi="http://www.w3.org/2001/XMLSchema-instance" xsi:type="dcterms:W3CDTF">2026-08-15T16:30:54Z</dcterms:modified>
</cp:coreProperties>
</file>